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_Work_Data\B_Mediamine\Employee_Efficiency_Dashboard\"/>
    </mc:Choice>
  </mc:AlternateContent>
  <xr:revisionPtr revIDLastSave="0" documentId="8_{1C76BC92-8627-4688-90E8-ED8F0CF48E2F}" xr6:coauthVersionLast="47" xr6:coauthVersionMax="47" xr10:uidLastSave="{00000000-0000-0000-0000-000000000000}"/>
  <bookViews>
    <workbookView xWindow="-108" yWindow="-108" windowWidth="23256" windowHeight="12576" xr2:uid="{1DCC339F-62CE-48D2-8763-AB65AEF9E022}"/>
  </bookViews>
  <sheets>
    <sheet name="Logic Capacity Planning " sheetId="1" r:id="rId1"/>
  </sheets>
  <definedNames>
    <definedName name="_xlnm._FilterDatabase" localSheetId="0" hidden="1">'Logic Capacity Planning '!$A$14:$M$115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S6" i="1"/>
  <c r="H114" i="1"/>
  <c r="J114" i="1" s="1"/>
  <c r="F114" i="1"/>
  <c r="O6" i="1"/>
  <c r="E10" i="1"/>
  <c r="D10" i="1"/>
  <c r="L111" i="1" l="1"/>
  <c r="L110" i="1"/>
  <c r="L109" i="1"/>
  <c r="L108" i="1"/>
  <c r="J38" i="1" l="1"/>
  <c r="L38" i="1" s="1"/>
  <c r="J39" i="1"/>
  <c r="L39" i="1" s="1"/>
  <c r="J40" i="1"/>
  <c r="L40" i="1" s="1"/>
  <c r="J41" i="1"/>
  <c r="L41" i="1" s="1"/>
  <c r="J45" i="1"/>
  <c r="L45" i="1" s="1"/>
  <c r="J46" i="1"/>
  <c r="L46" i="1" s="1"/>
  <c r="J47" i="1"/>
  <c r="L47" i="1" s="1"/>
  <c r="J48" i="1"/>
  <c r="L48" i="1" s="1"/>
  <c r="J49" i="1"/>
  <c r="L49" i="1" s="1"/>
  <c r="J52" i="1"/>
  <c r="L52" i="1" s="1"/>
  <c r="J53" i="1"/>
  <c r="L53" i="1" s="1"/>
  <c r="J54" i="1"/>
  <c r="L54" i="1" s="1"/>
  <c r="J55" i="1"/>
  <c r="L55" i="1" s="1"/>
  <c r="J59" i="1"/>
  <c r="L59" i="1" s="1"/>
  <c r="J60" i="1"/>
  <c r="L60" i="1" s="1"/>
  <c r="J61" i="1"/>
  <c r="L61" i="1" s="1"/>
  <c r="J62" i="1"/>
  <c r="L62" i="1" s="1"/>
  <c r="J63" i="1"/>
  <c r="L63" i="1" s="1"/>
  <c r="J66" i="1"/>
  <c r="L66" i="1" s="1"/>
  <c r="J67" i="1"/>
  <c r="L67" i="1" s="1"/>
  <c r="J68" i="1"/>
  <c r="L68" i="1" s="1"/>
  <c r="J69" i="1"/>
  <c r="L69" i="1" s="1"/>
  <c r="J73" i="1"/>
  <c r="L73" i="1" s="1"/>
  <c r="J74" i="1"/>
  <c r="L74" i="1" s="1"/>
  <c r="J75" i="1"/>
  <c r="L75" i="1" s="1"/>
  <c r="J76" i="1"/>
  <c r="L76" i="1" s="1"/>
  <c r="J80" i="1"/>
  <c r="L80" i="1" s="1"/>
  <c r="J81" i="1"/>
  <c r="L81" i="1" s="1"/>
  <c r="J82" i="1"/>
  <c r="L82" i="1" s="1"/>
  <c r="J83" i="1"/>
  <c r="L83" i="1" s="1"/>
  <c r="J87" i="1"/>
  <c r="L87" i="1" s="1"/>
  <c r="J88" i="1"/>
  <c r="L88" i="1" s="1"/>
  <c r="J89" i="1"/>
  <c r="L89" i="1" s="1"/>
  <c r="J90" i="1"/>
  <c r="L90" i="1" s="1"/>
  <c r="J94" i="1"/>
  <c r="L94" i="1" s="1"/>
  <c r="J95" i="1"/>
  <c r="L95" i="1" s="1"/>
  <c r="J96" i="1"/>
  <c r="L96" i="1" s="1"/>
  <c r="J97" i="1"/>
  <c r="L97" i="1" s="1"/>
  <c r="J101" i="1"/>
  <c r="L101" i="1" s="1"/>
  <c r="J102" i="1"/>
  <c r="L102" i="1" s="1"/>
  <c r="J103" i="1"/>
  <c r="L103" i="1" s="1"/>
  <c r="J104" i="1"/>
  <c r="L104" i="1" s="1"/>
  <c r="E115" i="1"/>
  <c r="D115" i="1"/>
  <c r="C6" i="1" s="1"/>
  <c r="D6" i="1" s="1"/>
  <c r="L6" i="1" l="1"/>
  <c r="C7" i="1"/>
  <c r="E6" i="1"/>
  <c r="E7" i="1" l="1"/>
  <c r="D7" i="1"/>
  <c r="F99" i="1" l="1"/>
  <c r="F106" i="1"/>
  <c r="F107" i="1"/>
  <c r="F112" i="1"/>
  <c r="F113" i="1"/>
  <c r="F35" i="1"/>
  <c r="F57" i="1"/>
  <c r="F84" i="1"/>
  <c r="F56" i="1"/>
  <c r="F78" i="1"/>
  <c r="F16" i="1"/>
  <c r="F37" i="1"/>
  <c r="F29" i="1"/>
  <c r="F86" i="1"/>
  <c r="F98" i="1"/>
  <c r="F91" i="1"/>
  <c r="F21" i="1"/>
  <c r="F22" i="1"/>
  <c r="F92" i="1"/>
  <c r="F42" i="1"/>
  <c r="F93" i="1"/>
  <c r="F23" i="1"/>
  <c r="F36" i="1"/>
  <c r="F70" i="1"/>
  <c r="F72" i="1"/>
  <c r="F43" i="1"/>
  <c r="F64" i="1"/>
  <c r="F50" i="1"/>
  <c r="F100" i="1"/>
  <c r="F71" i="1"/>
  <c r="F44" i="1"/>
  <c r="F105" i="1"/>
  <c r="F79" i="1"/>
  <c r="F65" i="1"/>
  <c r="F77" i="1"/>
  <c r="F85" i="1"/>
  <c r="F51" i="1"/>
  <c r="F58" i="1"/>
  <c r="F28" i="1"/>
  <c r="F10" i="1" l="1"/>
  <c r="F115" i="1"/>
  <c r="F6" i="1" s="1"/>
  <c r="G6" i="1" s="1"/>
  <c r="H6" i="1" s="1"/>
  <c r="I6" i="1" s="1"/>
  <c r="I114" i="1" s="1"/>
  <c r="G10" i="1" l="1"/>
  <c r="G115" i="1"/>
  <c r="J6" i="1" s="1"/>
  <c r="K6" i="1" s="1"/>
  <c r="M6" i="1" s="1"/>
  <c r="H113" i="1" s="1"/>
  <c r="J113" i="1" s="1"/>
  <c r="H112" i="1"/>
  <c r="H106" i="1"/>
  <c r="H99" i="1"/>
  <c r="H42" i="1"/>
  <c r="H56" i="1"/>
  <c r="H71" i="1"/>
  <c r="H93" i="1"/>
  <c r="H78" i="1"/>
  <c r="H44" i="1"/>
  <c r="H98" i="1"/>
  <c r="H79" i="1"/>
  <c r="H86" i="1"/>
  <c r="H28" i="1"/>
  <c r="I28" i="1" s="1"/>
  <c r="H43" i="1"/>
  <c r="H29" i="1"/>
  <c r="I29" i="1" s="1"/>
  <c r="H35" i="1"/>
  <c r="H91" i="1"/>
  <c r="H84" i="1"/>
  <c r="H21" i="1"/>
  <c r="I21" i="1" s="1"/>
  <c r="H77" i="1"/>
  <c r="H51" i="1"/>
  <c r="H50" i="1"/>
  <c r="H58" i="1"/>
  <c r="H72" i="1"/>
  <c r="H107" i="1" l="1"/>
  <c r="H36" i="1"/>
  <c r="I113" i="1"/>
  <c r="H64" i="1"/>
  <c r="H22" i="1"/>
  <c r="I22" i="1" s="1"/>
  <c r="H70" i="1"/>
  <c r="H100" i="1"/>
  <c r="H85" i="1"/>
  <c r="H65" i="1"/>
  <c r="I65" i="1" s="1"/>
  <c r="H105" i="1"/>
  <c r="I105" i="1" s="1"/>
  <c r="H57" i="1"/>
  <c r="I57" i="1" s="1"/>
  <c r="H37" i="1"/>
  <c r="J37" i="1" s="1"/>
  <c r="L37" i="1" s="1"/>
  <c r="H92" i="1"/>
  <c r="J92" i="1" s="1"/>
  <c r="L92" i="1" s="1"/>
  <c r="H23" i="1"/>
  <c r="I23" i="1" s="1"/>
  <c r="H16" i="1"/>
  <c r="J107" i="1"/>
  <c r="I107" i="1"/>
  <c r="J106" i="1"/>
  <c r="I106" i="1"/>
  <c r="J112" i="1"/>
  <c r="I112" i="1"/>
  <c r="I64" i="1"/>
  <c r="J64" i="1"/>
  <c r="L64" i="1" s="1"/>
  <c r="J105" i="1"/>
  <c r="L105" i="1" s="1"/>
  <c r="J44" i="1"/>
  <c r="L44" i="1" s="1"/>
  <c r="I44" i="1"/>
  <c r="J35" i="1"/>
  <c r="I35" i="1"/>
  <c r="J70" i="1"/>
  <c r="L70" i="1" s="1"/>
  <c r="I70" i="1"/>
  <c r="J43" i="1"/>
  <c r="L43" i="1" s="1"/>
  <c r="I43" i="1"/>
  <c r="J100" i="1"/>
  <c r="L100" i="1" s="1"/>
  <c r="I100" i="1"/>
  <c r="I37" i="1"/>
  <c r="I93" i="1"/>
  <c r="J93" i="1"/>
  <c r="L93" i="1" s="1"/>
  <c r="I56" i="1"/>
  <c r="J56" i="1"/>
  <c r="L56" i="1" s="1"/>
  <c r="I72" i="1"/>
  <c r="J72" i="1"/>
  <c r="L72" i="1" s="1"/>
  <c r="I58" i="1"/>
  <c r="J58" i="1"/>
  <c r="L58" i="1" s="1"/>
  <c r="I78" i="1"/>
  <c r="J78" i="1"/>
  <c r="L78" i="1" s="1"/>
  <c r="I85" i="1"/>
  <c r="J85" i="1"/>
  <c r="L85" i="1" s="1"/>
  <c r="I51" i="1"/>
  <c r="J51" i="1"/>
  <c r="L51" i="1" s="1"/>
  <c r="I77" i="1"/>
  <c r="J77" i="1"/>
  <c r="L77" i="1" s="1"/>
  <c r="I79" i="1"/>
  <c r="J79" i="1"/>
  <c r="L79" i="1" s="1"/>
  <c r="I84" i="1"/>
  <c r="J84" i="1"/>
  <c r="L84" i="1" s="1"/>
  <c r="I98" i="1"/>
  <c r="J98" i="1"/>
  <c r="L98" i="1" s="1"/>
  <c r="I42" i="1"/>
  <c r="J42" i="1"/>
  <c r="L42" i="1" s="1"/>
  <c r="I91" i="1"/>
  <c r="J91" i="1"/>
  <c r="L91" i="1" s="1"/>
  <c r="I50" i="1"/>
  <c r="J50" i="1"/>
  <c r="L50" i="1" s="1"/>
  <c r="I86" i="1"/>
  <c r="J86" i="1"/>
  <c r="L86" i="1" s="1"/>
  <c r="I71" i="1"/>
  <c r="J71" i="1"/>
  <c r="L71" i="1" s="1"/>
  <c r="J36" i="1"/>
  <c r="L36" i="1" s="1"/>
  <c r="I36" i="1"/>
  <c r="J99" i="1"/>
  <c r="L99" i="1" s="1"/>
  <c r="I99" i="1"/>
  <c r="J65" i="1" l="1"/>
  <c r="L65" i="1" s="1"/>
  <c r="J57" i="1"/>
  <c r="L57" i="1" s="1"/>
  <c r="I92" i="1"/>
  <c r="H10" i="1"/>
  <c r="H115" i="1"/>
  <c r="I16" i="1"/>
  <c r="J10" i="1"/>
  <c r="I10" i="1"/>
  <c r="I115" i="1"/>
  <c r="L35" i="1"/>
  <c r="J115" i="1"/>
  <c r="P6" i="1" l="1"/>
  <c r="L113" i="1" l="1"/>
  <c r="L114" i="1"/>
  <c r="L115" i="1" s="1"/>
  <c r="L112" i="1"/>
  <c r="L106" i="1"/>
  <c r="L107" i="1"/>
  <c r="K115" i="1" l="1"/>
  <c r="K10" i="1"/>
  <c r="L10" i="1"/>
</calcChain>
</file>

<file path=xl/sharedStrings.xml><?xml version="1.0" encoding="utf-8"?>
<sst xmlns="http://schemas.openxmlformats.org/spreadsheetml/2006/main" count="267" uniqueCount="79">
  <si>
    <t xml:space="preserve">LOGIC OF CAPACITY PLANNING - WITH ADJUSTMENT FOR LEAVES </t>
  </si>
  <si>
    <t xml:space="preserve">JOB TASK TABLE </t>
  </si>
  <si>
    <t>Task Details</t>
  </si>
  <si>
    <t>Allocated Hours</t>
  </si>
  <si>
    <t>Step 03</t>
  </si>
  <si>
    <t>Step 04</t>
  </si>
  <si>
    <t>Step 5</t>
  </si>
  <si>
    <t>Step 07</t>
  </si>
  <si>
    <t>Step 08</t>
  </si>
  <si>
    <t>Step 9</t>
  </si>
  <si>
    <t>Step 10</t>
  </si>
  <si>
    <t>Step 12</t>
  </si>
  <si>
    <t>Step 13</t>
  </si>
  <si>
    <t>Step 14</t>
  </si>
  <si>
    <t>Step 15</t>
  </si>
  <si>
    <t>Step 18</t>
  </si>
  <si>
    <t>Step 19</t>
  </si>
  <si>
    <t>Step 21</t>
  </si>
  <si>
    <t>Step 22</t>
  </si>
  <si>
    <t>Step 23</t>
  </si>
  <si>
    <t>Step 24</t>
  </si>
  <si>
    <t>Step 25</t>
  </si>
  <si>
    <t xml:space="preserve">Calculate Workable Days Between Start - Due Date 
(Minus Public Holidays / Weekends / Staff Non Workable Day of Week) </t>
  </si>
  <si>
    <t>Available Workable Hrs: Multiply No. Of Workable Days into Workable Hours (Default = 8 Hrs / Day)</t>
  </si>
  <si>
    <t>Calculate: Average Task Hours per Workable Day (INITIAL)</t>
  </si>
  <si>
    <t>SUM all distributed Leave Hours from Step 06</t>
  </si>
  <si>
    <t>Remaining Workable Hrs: Subtract: Total Leave Hours (Step 07) from Available Workable Hours (Step 04)</t>
  </si>
  <si>
    <t>Remaining Workable Days = Divide: Remaining Workable Hours by 8 (8 Hours / Day)</t>
  </si>
  <si>
    <r>
      <t xml:space="preserve">Average Allocated Hours for Days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Leave</t>
    </r>
  </si>
  <si>
    <t>SUM all distributed Task Hours on Days WITHOUT Leave from Step 11</t>
  </si>
  <si>
    <t>Calculate Remaining Task Hours</t>
  </si>
  <si>
    <t>Create a Calculated Column of Count of Days WITH Leave  (Flagged in Step 02)</t>
  </si>
  <si>
    <r>
      <t xml:space="preserve">Average Allocated Hours for Days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Leave</t>
    </r>
  </si>
  <si>
    <t>Task Hours Worked TILL YESTERDAY (Taken from Time Sheet)</t>
  </si>
  <si>
    <t>Task Hrs Remaining</t>
  </si>
  <si>
    <t>Sum of Task Hours Allocated during "Days with Leave" Between Today &amp; Due Date</t>
  </si>
  <si>
    <t>Task Hrs Remaining after adjusting for Days WITH Leave</t>
  </si>
  <si>
    <t xml:space="preserve">Count of Remanining Days WITHOUT Leave </t>
  </si>
  <si>
    <t>Allocated Avg Task Hrs per Remaining Days WITHOUT Leave</t>
  </si>
  <si>
    <t xml:space="preserve">FLAG: Task Can be Completed within Due Date? </t>
  </si>
  <si>
    <t xml:space="preserve">Work Task </t>
  </si>
  <si>
    <t>Leave</t>
  </si>
  <si>
    <t>(Suppose - Leave Starts Date  = 23 Dec 2020 and End Date = 30 Mar 2021  )</t>
  </si>
  <si>
    <t>IF Step 24 &gt; 8 Hrs OR IS NULL</t>
  </si>
  <si>
    <t>Total of STAFF TASK ALLOCATION TABLE (Below)</t>
  </si>
  <si>
    <t>THE TOTAL AT THIS STEP WOULD MATCH THE ALLOCATED HRS OF THE TASK (65 Hours)</t>
  </si>
  <si>
    <t xml:space="preserve">STAFF - TASK - ALLOCATION TABLE </t>
  </si>
  <si>
    <t>Date</t>
  </si>
  <si>
    <t>Day</t>
  </si>
  <si>
    <t>Step 01</t>
  </si>
  <si>
    <t>Step 02</t>
  </si>
  <si>
    <t>Step 06</t>
  </si>
  <si>
    <t>Step 11</t>
  </si>
  <si>
    <t>Step 16</t>
  </si>
  <si>
    <t>Step 17</t>
  </si>
  <si>
    <t>Step 20</t>
  </si>
  <si>
    <t>Step 26</t>
  </si>
  <si>
    <t>Flag: Public Holidays, Weekends and Staff Non Workable Day of the Week</t>
  </si>
  <si>
    <t>Count of Workable Days</t>
  </si>
  <si>
    <t>Flag Leave Date Range between Task</t>
  </si>
  <si>
    <t>Allocate Avg. Task Hours for Leaves (Initial) for Days WITH Leave</t>
  </si>
  <si>
    <t>Allocate Avg Task Hours calculated in Step 10 for Days WITHOUT LEAVE</t>
  </si>
  <si>
    <t>Allocate Avg Task Hours calculated in Step 10 for Days WITH LEAVE</t>
  </si>
  <si>
    <t>Combine Avg Allocated Task Hrs for Days WITH Leave (Step 16) and Days WITHOUT Leave (Step 11)</t>
  </si>
  <si>
    <t>Task Hours Allocated during "Days with Leave" Between Today &amp; Due Date</t>
  </si>
  <si>
    <t>Total Revised Aloocated Remaing Task Hrs between Today and Due Date</t>
  </si>
  <si>
    <t>Wed</t>
  </si>
  <si>
    <t>WORKDAY</t>
  </si>
  <si>
    <t>Thu</t>
  </si>
  <si>
    <t>Carl Not Working</t>
  </si>
  <si>
    <t>Sat</t>
  </si>
  <si>
    <t>Weekend</t>
  </si>
  <si>
    <t>Sun</t>
  </si>
  <si>
    <t>Mon</t>
  </si>
  <si>
    <t>Tue</t>
  </si>
  <si>
    <t>Fri</t>
  </si>
  <si>
    <t>Public Holiday</t>
  </si>
  <si>
    <t>TODAY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</si>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</sst>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 * #,##0.00_ ;_ * \-#,##0.00_ ;_ * &quot;-&quot;??_ ;_ @_ "/>
    <numFmt numFmtId="166" formatCode="_-* #,##0.0_-;\-* #,##0.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 wrapText="1"/>
    </xf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1" applyNumberFormat="1" applyFont="1" applyBorder="1"/>
    <xf numFmtId="0" fontId="0" fillId="0" borderId="1" xfId="0" applyBorder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164" fontId="4" fillId="4" borderId="1" xfId="1" applyFont="1" applyFill="1" applyBorder="1"/>
    <xf numFmtId="164" fontId="0" fillId="0" borderId="1" xfId="1" applyFont="1" applyBorder="1"/>
    <xf numFmtId="166" fontId="2" fillId="0" borderId="1" xfId="1" applyNumberFormat="1" applyFont="1" applyBorder="1"/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4" fontId="2" fillId="0" borderId="1" xfId="1" applyFont="1" applyBorder="1"/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0" fontId="0" fillId="7" borderId="2" xfId="0" applyFill="1" applyBorder="1"/>
    <xf numFmtId="0" fontId="2" fillId="7" borderId="2" xfId="0" applyFont="1" applyFill="1" applyBorder="1"/>
    <xf numFmtId="166" fontId="0" fillId="7" borderId="2" xfId="0" applyNumberFormat="1" applyFill="1" applyBorder="1"/>
    <xf numFmtId="164" fontId="0" fillId="7" borderId="2" xfId="0" applyNumberFormat="1" applyFill="1" applyBorder="1"/>
    <xf numFmtId="0" fontId="2" fillId="4" borderId="2" xfId="0" applyFont="1" applyFill="1" applyBorder="1"/>
    <xf numFmtId="166" fontId="2" fillId="4" borderId="2" xfId="0" applyNumberFormat="1" applyFont="1" applyFill="1" applyBorder="1"/>
    <xf numFmtId="166" fontId="4" fillId="4" borderId="2" xfId="0" applyNumberFormat="1" applyFont="1" applyFill="1" applyBorder="1"/>
    <xf numFmtId="166" fontId="4" fillId="4" borderId="5" xfId="0" applyNumberFormat="1" applyFont="1" applyFill="1" applyBorder="1"/>
    <xf numFmtId="166" fontId="6" fillId="10" borderId="8" xfId="0" applyNumberFormat="1" applyFont="1" applyFill="1" applyBorder="1"/>
    <xf numFmtId="166" fontId="6" fillId="11" borderId="1" xfId="1" applyNumberFormat="1" applyFont="1" applyFill="1" applyBorder="1"/>
    <xf numFmtId="0" fontId="6" fillId="11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9" borderId="15" xfId="0" applyFill="1" applyBorder="1" applyAlignment="1">
      <alignment horizontal="center" vertical="center" wrapText="1"/>
    </xf>
    <xf numFmtId="15" fontId="0" fillId="0" borderId="14" xfId="0" applyNumberFormat="1" applyBorder="1"/>
    <xf numFmtId="0" fontId="0" fillId="0" borderId="15" xfId="0" applyBorder="1"/>
    <xf numFmtId="15" fontId="0" fillId="7" borderId="14" xfId="0" applyNumberFormat="1" applyFill="1" applyBorder="1"/>
    <xf numFmtId="165" fontId="0" fillId="7" borderId="15" xfId="0" applyNumberFormat="1" applyFill="1" applyBorder="1"/>
    <xf numFmtId="165" fontId="0" fillId="0" borderId="15" xfId="0" applyNumberFormat="1" applyBorder="1"/>
    <xf numFmtId="0" fontId="2" fillId="4" borderId="17" xfId="0" applyFont="1" applyFill="1" applyBorder="1"/>
    <xf numFmtId="166" fontId="2" fillId="4" borderId="17" xfId="0" applyNumberFormat="1" applyFont="1" applyFill="1" applyBorder="1"/>
    <xf numFmtId="166" fontId="6" fillId="10" borderId="17" xfId="0" applyNumberFormat="1" applyFont="1" applyFill="1" applyBorder="1"/>
    <xf numFmtId="166" fontId="4" fillId="4" borderId="17" xfId="0" applyNumberFormat="1" applyFont="1" applyFill="1" applyBorder="1"/>
    <xf numFmtId="166" fontId="4" fillId="4" borderId="18" xfId="0" applyNumberFormat="1" applyFont="1" applyFill="1" applyBorder="1"/>
    <xf numFmtId="0" fontId="0" fillId="0" borderId="0" xfId="0" applyAlignment="1">
      <alignment wrapText="1"/>
    </xf>
    <xf numFmtId="0" fontId="5" fillId="0" borderId="0" xfId="0" applyFont="1"/>
    <xf numFmtId="0" fontId="2" fillId="4" borderId="16" xfId="0" applyFont="1" applyFill="1" applyBorder="1" applyAlignment="1">
      <alignment horizontal="left" vertical="top" indent="1"/>
    </xf>
    <xf numFmtId="0" fontId="2" fillId="4" borderId="17" xfId="0" applyFont="1" applyFill="1" applyBorder="1" applyAlignment="1">
      <alignment horizontal="left" vertical="top" indent="1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top" indent="1"/>
    </xf>
    <xf numFmtId="0" fontId="2" fillId="4" borderId="4" xfId="0" applyFont="1" applyFill="1" applyBorder="1" applyAlignment="1">
      <alignment horizontal="left" vertical="top" indent="1"/>
    </xf>
    <xf numFmtId="0" fontId="2" fillId="4" borderId="5" xfId="0" applyFont="1" applyFill="1" applyBorder="1" applyAlignment="1">
      <alignment horizontal="left" vertical="top" indent="1"/>
    </xf>
    <xf numFmtId="0" fontId="2" fillId="0" borderId="9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E95F-AD78-46A9-B5D3-3A95883D2DBC}">
  <dimension ref="A1:BS130"/>
  <sheetViews>
    <sheetView showGridLines="0" tabSelected="1" zoomScale="70" zoomScaleNormal="70" workbookViewId="0">
      <selection activeCell="A13" sqref="A13"/>
    </sheetView>
  </sheetViews>
  <sheetFormatPr defaultRowHeight="14.45"/>
  <cols>
    <col min="1" max="1" width="14.7109375" customWidth="1"/>
    <col min="2" max="2" width="13.5703125" customWidth="1"/>
    <col min="3" max="72" width="24.7109375" customWidth="1"/>
  </cols>
  <sheetData>
    <row r="1" spans="1:71" ht="18">
      <c r="B1" s="52" t="s">
        <v>0</v>
      </c>
    </row>
    <row r="3" spans="1:71" ht="24" customHeight="1">
      <c r="A3" s="55" t="s">
        <v>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71">
      <c r="A4" s="63" t="s">
        <v>2</v>
      </c>
      <c r="B4" s="63" t="s">
        <v>3</v>
      </c>
      <c r="C4" s="5" t="s">
        <v>4</v>
      </c>
      <c r="D4" s="6" t="s">
        <v>5</v>
      </c>
      <c r="E4" s="7" t="s">
        <v>6</v>
      </c>
      <c r="F4" s="5" t="s">
        <v>7</v>
      </c>
      <c r="G4" s="6" t="s">
        <v>8</v>
      </c>
      <c r="H4" s="8" t="s">
        <v>9</v>
      </c>
      <c r="I4" s="7" t="s">
        <v>10</v>
      </c>
      <c r="J4" s="5" t="s">
        <v>11</v>
      </c>
      <c r="K4" s="6" t="s">
        <v>12</v>
      </c>
      <c r="L4" s="8" t="s">
        <v>13</v>
      </c>
      <c r="M4" s="7" t="s">
        <v>14</v>
      </c>
      <c r="N4" s="12" t="s">
        <v>15</v>
      </c>
      <c r="O4" s="16" t="s">
        <v>16</v>
      </c>
      <c r="P4" s="17" t="s">
        <v>17</v>
      </c>
      <c r="Q4" s="16" t="s">
        <v>18</v>
      </c>
      <c r="R4" s="17" t="s">
        <v>19</v>
      </c>
      <c r="S4" s="16" t="s">
        <v>20</v>
      </c>
      <c r="T4" s="38" t="s">
        <v>21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</row>
    <row r="5" spans="1:71" s="1" customFormat="1" ht="72">
      <c r="A5" s="63"/>
      <c r="B5" s="63"/>
      <c r="C5" s="5" t="s">
        <v>22</v>
      </c>
      <c r="D5" s="6" t="s">
        <v>23</v>
      </c>
      <c r="E5" s="7" t="s">
        <v>24</v>
      </c>
      <c r="F5" s="5" t="s">
        <v>25</v>
      </c>
      <c r="G5" s="6" t="s">
        <v>26</v>
      </c>
      <c r="H5" s="8" t="s">
        <v>27</v>
      </c>
      <c r="I5" s="7" t="s">
        <v>28</v>
      </c>
      <c r="J5" s="5" t="s">
        <v>29</v>
      </c>
      <c r="K5" s="6" t="s">
        <v>30</v>
      </c>
      <c r="L5" s="8" t="s">
        <v>31</v>
      </c>
      <c r="M5" s="7" t="s">
        <v>32</v>
      </c>
      <c r="N5" s="12" t="s">
        <v>33</v>
      </c>
      <c r="O5" s="18" t="s">
        <v>34</v>
      </c>
      <c r="P5" s="17" t="s">
        <v>35</v>
      </c>
      <c r="Q5" s="16" t="s">
        <v>36</v>
      </c>
      <c r="R5" s="17" t="s">
        <v>37</v>
      </c>
      <c r="S5" s="16" t="s">
        <v>38</v>
      </c>
      <c r="T5" s="38" t="s">
        <v>39</v>
      </c>
    </row>
    <row r="6" spans="1:71" s="2" customFormat="1">
      <c r="A6" s="9" t="s">
        <v>40</v>
      </c>
      <c r="B6" s="10">
        <v>65</v>
      </c>
      <c r="C6" s="10">
        <f>D115</f>
        <v>40</v>
      </c>
      <c r="D6" s="10">
        <f>+C6* 8</f>
        <v>320</v>
      </c>
      <c r="E6" s="14">
        <f>+B6/C6</f>
        <v>1.625</v>
      </c>
      <c r="F6" s="10">
        <f>+F115</f>
        <v>25</v>
      </c>
      <c r="G6" s="10">
        <f>+D6-F6</f>
        <v>295</v>
      </c>
      <c r="H6" s="10">
        <f>+G6/8</f>
        <v>36.875</v>
      </c>
      <c r="I6" s="13">
        <f>+B6/H6</f>
        <v>1.7627118644067796</v>
      </c>
      <c r="J6" s="10">
        <f>G115</f>
        <v>0</v>
      </c>
      <c r="K6" s="10">
        <f>+B6-J6</f>
        <v>65</v>
      </c>
      <c r="L6" s="10">
        <f>E115</f>
        <v>40</v>
      </c>
      <c r="M6" s="13">
        <f>+K6/L6</f>
        <v>1.625</v>
      </c>
      <c r="N6" s="15">
        <v>1</v>
      </c>
      <c r="O6" s="15">
        <f>+B6-N6</f>
        <v>64</v>
      </c>
      <c r="P6" s="15">
        <f>J115</f>
        <v>55.25</v>
      </c>
      <c r="Q6" s="15">
        <f>+O6-P6</f>
        <v>8.75</v>
      </c>
      <c r="R6" s="15">
        <v>0</v>
      </c>
      <c r="S6" s="19">
        <f>+IFERROR((Q6/R6),0)</f>
        <v>0</v>
      </c>
      <c r="T6" s="37" t="b">
        <v>0</v>
      </c>
    </row>
    <row r="7" spans="1:71" s="2" customFormat="1">
      <c r="A7" s="11" t="s">
        <v>41</v>
      </c>
      <c r="B7" s="10">
        <v>25</v>
      </c>
      <c r="C7" s="10">
        <f>E115</f>
        <v>40</v>
      </c>
      <c r="D7" s="10">
        <f>+C7* 8</f>
        <v>320</v>
      </c>
      <c r="E7" s="13">
        <f>+B7/C7</f>
        <v>0.625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37"/>
    </row>
    <row r="8" spans="1:71" ht="14.45" customHeight="1">
      <c r="A8" s="4" t="s">
        <v>42</v>
      </c>
      <c r="T8" s="69" t="s">
        <v>43</v>
      </c>
    </row>
    <row r="9" spans="1:71" ht="14.45" customHeight="1">
      <c r="A9" s="4"/>
      <c r="T9" s="70"/>
    </row>
    <row r="10" spans="1:71" s="4" customFormat="1" ht="15" thickBot="1">
      <c r="A10" s="66" t="s">
        <v>44</v>
      </c>
      <c r="B10" s="67"/>
      <c r="C10" s="68"/>
      <c r="D10" s="32">
        <f>COUNTA(D16:D114)</f>
        <v>40</v>
      </c>
      <c r="E10" s="32">
        <f>COUNTA(E16:E114)</f>
        <v>40</v>
      </c>
      <c r="F10" s="33">
        <f>SUM(F16:F114)</f>
        <v>25</v>
      </c>
      <c r="G10" s="33">
        <f>SUM(G16:G114)</f>
        <v>0</v>
      </c>
      <c r="H10" s="33">
        <f>SUM(H16:H114)</f>
        <v>65</v>
      </c>
      <c r="I10" s="36">
        <f>SUM(I16:I114)</f>
        <v>65</v>
      </c>
      <c r="J10" s="35">
        <f>SUM(J16:J114)</f>
        <v>55.25</v>
      </c>
      <c r="K10" s="34">
        <f>SUM(K16:K114)</f>
        <v>0</v>
      </c>
      <c r="L10" s="34">
        <f>SUM(L16:L114)</f>
        <v>55.25</v>
      </c>
      <c r="T10" s="70"/>
    </row>
    <row r="11" spans="1:71" ht="57.6" customHeight="1">
      <c r="A11" s="4"/>
      <c r="I11" s="60" t="s">
        <v>45</v>
      </c>
      <c r="T11" s="51"/>
    </row>
    <row r="12" spans="1:71" ht="15" thickBot="1">
      <c r="I12" s="61"/>
    </row>
    <row r="13" spans="1:71" ht="31.15" customHeight="1">
      <c r="A13" s="57" t="s">
        <v>46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71" s="3" customFormat="1">
      <c r="A14" s="65" t="s">
        <v>47</v>
      </c>
      <c r="B14" s="64" t="s">
        <v>48</v>
      </c>
      <c r="C14" s="62" t="s">
        <v>49</v>
      </c>
      <c r="D14" s="62"/>
      <c r="E14" s="20" t="s">
        <v>50</v>
      </c>
      <c r="F14" s="21" t="s">
        <v>51</v>
      </c>
      <c r="G14" s="22" t="s">
        <v>52</v>
      </c>
      <c r="H14" s="20" t="s">
        <v>53</v>
      </c>
      <c r="I14" s="21" t="s">
        <v>54</v>
      </c>
      <c r="J14" s="23" t="s">
        <v>55</v>
      </c>
      <c r="K14" s="24" t="s">
        <v>21</v>
      </c>
      <c r="L14" s="40" t="s">
        <v>56</v>
      </c>
    </row>
    <row r="15" spans="1:71" s="1" customFormat="1" ht="57.6">
      <c r="A15" s="65"/>
      <c r="B15" s="64"/>
      <c r="C15" s="22" t="s">
        <v>57</v>
      </c>
      <c r="D15" s="22" t="s">
        <v>58</v>
      </c>
      <c r="E15" s="20" t="s">
        <v>59</v>
      </c>
      <c r="F15" s="21" t="s">
        <v>60</v>
      </c>
      <c r="G15" s="22" t="s">
        <v>61</v>
      </c>
      <c r="H15" s="20" t="s">
        <v>62</v>
      </c>
      <c r="I15" s="21" t="s">
        <v>63</v>
      </c>
      <c r="J15" s="23" t="s">
        <v>64</v>
      </c>
      <c r="K15" s="24" t="s">
        <v>38</v>
      </c>
      <c r="L15" s="40" t="s">
        <v>65</v>
      </c>
      <c r="M15" s="3"/>
      <c r="N15" s="3"/>
      <c r="O15" s="3"/>
      <c r="P15" s="3"/>
    </row>
    <row r="16" spans="1:71">
      <c r="A16" s="41">
        <v>44188</v>
      </c>
      <c r="B16" s="25" t="s">
        <v>66</v>
      </c>
      <c r="C16" s="25" t="s">
        <v>67</v>
      </c>
      <c r="D16" s="25">
        <v>1</v>
      </c>
      <c r="E16" s="25">
        <v>1</v>
      </c>
      <c r="F16" s="26">
        <f>$E$7</f>
        <v>0.625</v>
      </c>
      <c r="G16" s="25"/>
      <c r="H16" s="27">
        <f>+$M$6</f>
        <v>1.625</v>
      </c>
      <c r="I16" s="27">
        <f>+H16+G16</f>
        <v>1.625</v>
      </c>
      <c r="J16" s="25"/>
      <c r="K16" s="25"/>
      <c r="L16" s="42"/>
      <c r="M16" s="3"/>
      <c r="N16" s="3"/>
      <c r="O16" s="3"/>
      <c r="P16" s="3"/>
    </row>
    <row r="17" spans="1:16">
      <c r="A17" s="41">
        <v>44189</v>
      </c>
      <c r="B17" s="25" t="s">
        <v>68</v>
      </c>
      <c r="C17" s="25" t="s">
        <v>69</v>
      </c>
      <c r="D17" s="25"/>
      <c r="E17" s="25"/>
      <c r="F17" s="25"/>
      <c r="G17" s="25"/>
      <c r="H17" s="25"/>
      <c r="I17" s="27"/>
      <c r="J17" s="25"/>
      <c r="K17" s="25"/>
      <c r="L17" s="42"/>
      <c r="M17" s="3"/>
      <c r="N17" s="3"/>
      <c r="O17" s="3"/>
      <c r="P17" s="3"/>
    </row>
    <row r="18" spans="1:16">
      <c r="A18" s="41">
        <v>44196</v>
      </c>
      <c r="B18" s="25" t="s">
        <v>68</v>
      </c>
      <c r="C18" s="25" t="s">
        <v>69</v>
      </c>
      <c r="D18" s="25"/>
      <c r="E18" s="25"/>
      <c r="F18" s="25"/>
      <c r="G18" s="25"/>
      <c r="H18" s="25"/>
      <c r="I18" s="27"/>
      <c r="J18" s="25"/>
      <c r="K18" s="25"/>
      <c r="L18" s="42"/>
      <c r="M18" s="3"/>
      <c r="N18" s="3"/>
      <c r="O18" s="3"/>
      <c r="P18" s="3"/>
    </row>
    <row r="19" spans="1:16">
      <c r="A19" s="41">
        <v>44191</v>
      </c>
      <c r="B19" s="25" t="s">
        <v>70</v>
      </c>
      <c r="C19" s="25" t="s">
        <v>71</v>
      </c>
      <c r="D19" s="25"/>
      <c r="E19" s="25"/>
      <c r="F19" s="25"/>
      <c r="G19" s="25"/>
      <c r="H19" s="25"/>
      <c r="I19" s="27"/>
      <c r="J19" s="25"/>
      <c r="K19" s="25"/>
      <c r="L19" s="42"/>
      <c r="M19" s="3"/>
      <c r="N19" s="3"/>
      <c r="O19" s="3"/>
      <c r="P19" s="3"/>
    </row>
    <row r="20" spans="1:16">
      <c r="A20" s="41">
        <v>44192</v>
      </c>
      <c r="B20" s="25" t="s">
        <v>72</v>
      </c>
      <c r="C20" s="25" t="s">
        <v>71</v>
      </c>
      <c r="D20" s="25"/>
      <c r="E20" s="25"/>
      <c r="F20" s="25"/>
      <c r="G20" s="25"/>
      <c r="H20" s="25"/>
      <c r="I20" s="27"/>
      <c r="J20" s="25"/>
      <c r="K20" s="25"/>
      <c r="L20" s="42"/>
      <c r="M20" s="3"/>
      <c r="N20" s="3"/>
      <c r="O20" s="3"/>
      <c r="P20" s="3"/>
    </row>
    <row r="21" spans="1:16">
      <c r="A21" s="41">
        <v>44193</v>
      </c>
      <c r="B21" s="25" t="s">
        <v>73</v>
      </c>
      <c r="C21" s="25" t="s">
        <v>67</v>
      </c>
      <c r="D21" s="25">
        <v>1</v>
      </c>
      <c r="E21" s="25">
        <v>1</v>
      </c>
      <c r="F21" s="26">
        <f t="shared" ref="F21:F23" si="0">$E$7</f>
        <v>0.625</v>
      </c>
      <c r="G21" s="25"/>
      <c r="H21" s="27">
        <f t="shared" ref="H21:H23" si="1">+$M$6</f>
        <v>1.625</v>
      </c>
      <c r="I21" s="27">
        <f t="shared" ref="I21:I79" si="2">+H21+G21</f>
        <v>1.625</v>
      </c>
      <c r="J21" s="25"/>
      <c r="K21" s="25"/>
      <c r="L21" s="42"/>
      <c r="M21" s="3"/>
      <c r="N21" s="3"/>
      <c r="O21" s="3"/>
      <c r="P21" s="3"/>
    </row>
    <row r="22" spans="1:16">
      <c r="A22" s="41">
        <v>44194</v>
      </c>
      <c r="B22" s="25" t="s">
        <v>74</v>
      </c>
      <c r="C22" s="25" t="s">
        <v>67</v>
      </c>
      <c r="D22" s="25">
        <v>1</v>
      </c>
      <c r="E22" s="25">
        <v>1</v>
      </c>
      <c r="F22" s="26">
        <f t="shared" si="0"/>
        <v>0.625</v>
      </c>
      <c r="G22" s="25"/>
      <c r="H22" s="27">
        <f t="shared" si="1"/>
        <v>1.625</v>
      </c>
      <c r="I22" s="27">
        <f t="shared" si="2"/>
        <v>1.625</v>
      </c>
      <c r="J22" s="25"/>
      <c r="K22" s="25"/>
      <c r="L22" s="42"/>
      <c r="M22" s="3"/>
      <c r="N22" s="3"/>
      <c r="O22" s="3"/>
      <c r="P22" s="3"/>
    </row>
    <row r="23" spans="1:16">
      <c r="A23" s="41">
        <v>44195</v>
      </c>
      <c r="B23" s="25" t="s">
        <v>66</v>
      </c>
      <c r="C23" s="25" t="s">
        <v>67</v>
      </c>
      <c r="D23" s="25">
        <v>1</v>
      </c>
      <c r="E23" s="25">
        <v>1</v>
      </c>
      <c r="F23" s="26">
        <f t="shared" si="0"/>
        <v>0.625</v>
      </c>
      <c r="G23" s="25"/>
      <c r="H23" s="27">
        <f t="shared" si="1"/>
        <v>1.625</v>
      </c>
      <c r="I23" s="27">
        <f t="shared" si="2"/>
        <v>1.625</v>
      </c>
      <c r="J23" s="25"/>
      <c r="K23" s="25"/>
      <c r="L23" s="42"/>
      <c r="M23" s="3"/>
      <c r="N23" s="3"/>
      <c r="O23" s="3"/>
      <c r="P23" s="3"/>
    </row>
    <row r="24" spans="1:16">
      <c r="A24" s="41">
        <v>44203</v>
      </c>
      <c r="B24" s="25" t="s">
        <v>68</v>
      </c>
      <c r="C24" s="25" t="s">
        <v>69</v>
      </c>
      <c r="D24" s="25"/>
      <c r="E24" s="25"/>
      <c r="F24" s="25"/>
      <c r="G24" s="25"/>
      <c r="H24" s="25"/>
      <c r="I24" s="27"/>
      <c r="J24" s="25"/>
      <c r="K24" s="25"/>
      <c r="L24" s="42"/>
      <c r="M24" s="3"/>
      <c r="N24" s="3"/>
      <c r="O24" s="3"/>
      <c r="P24" s="3"/>
    </row>
    <row r="25" spans="1:16">
      <c r="A25" s="41">
        <v>44204</v>
      </c>
      <c r="B25" s="25" t="s">
        <v>75</v>
      </c>
      <c r="C25" s="25" t="s">
        <v>69</v>
      </c>
      <c r="D25" s="25"/>
      <c r="E25" s="25"/>
      <c r="F25" s="25"/>
      <c r="G25" s="25"/>
      <c r="H25" s="25"/>
      <c r="I25" s="27"/>
      <c r="J25" s="25"/>
      <c r="K25" s="25"/>
      <c r="L25" s="42"/>
      <c r="M25" s="3"/>
      <c r="N25" s="3"/>
      <c r="O25" s="3"/>
      <c r="P25" s="3"/>
    </row>
    <row r="26" spans="1:16">
      <c r="A26" s="41">
        <v>44198</v>
      </c>
      <c r="B26" s="25" t="s">
        <v>70</v>
      </c>
      <c r="C26" s="25" t="s">
        <v>71</v>
      </c>
      <c r="D26" s="25"/>
      <c r="E26" s="25"/>
      <c r="F26" s="25"/>
      <c r="G26" s="25"/>
      <c r="H26" s="25"/>
      <c r="I26" s="27"/>
      <c r="J26" s="25"/>
      <c r="K26" s="25"/>
      <c r="L26" s="42"/>
      <c r="M26" s="3"/>
      <c r="N26" s="3"/>
      <c r="O26" s="3"/>
      <c r="P26" s="3"/>
    </row>
    <row r="27" spans="1:16">
      <c r="A27" s="41">
        <v>44199</v>
      </c>
      <c r="B27" s="25" t="s">
        <v>72</v>
      </c>
      <c r="C27" s="25" t="s">
        <v>71</v>
      </c>
      <c r="D27" s="25"/>
      <c r="E27" s="25"/>
      <c r="F27" s="25"/>
      <c r="G27" s="25"/>
      <c r="H27" s="25"/>
      <c r="I27" s="27"/>
      <c r="J27" s="25"/>
      <c r="K27" s="25"/>
      <c r="L27" s="42"/>
      <c r="M27" s="3"/>
      <c r="N27" s="3"/>
      <c r="O27" s="3"/>
      <c r="P27" s="3"/>
    </row>
    <row r="28" spans="1:16">
      <c r="A28" s="41">
        <v>44200</v>
      </c>
      <c r="B28" s="25" t="s">
        <v>73</v>
      </c>
      <c r="C28" s="25" t="s">
        <v>67</v>
      </c>
      <c r="D28" s="25">
        <v>1</v>
      </c>
      <c r="E28" s="25">
        <v>1</v>
      </c>
      <c r="F28" s="26">
        <f t="shared" ref="F28:F29" si="3">$E$7</f>
        <v>0.625</v>
      </c>
      <c r="G28" s="25"/>
      <c r="H28" s="27">
        <f t="shared" ref="H28:H29" si="4">+$M$6</f>
        <v>1.625</v>
      </c>
      <c r="I28" s="27">
        <f t="shared" si="2"/>
        <v>1.625</v>
      </c>
      <c r="J28" s="25"/>
      <c r="K28" s="25"/>
      <c r="L28" s="42"/>
      <c r="M28" s="3"/>
      <c r="N28" s="3"/>
      <c r="O28" s="3"/>
      <c r="P28" s="3"/>
    </row>
    <row r="29" spans="1:16">
      <c r="A29" s="41">
        <v>44201</v>
      </c>
      <c r="B29" s="25" t="s">
        <v>74</v>
      </c>
      <c r="C29" s="25" t="s">
        <v>67</v>
      </c>
      <c r="D29" s="25">
        <v>1</v>
      </c>
      <c r="E29" s="25">
        <v>1</v>
      </c>
      <c r="F29" s="26">
        <f t="shared" si="3"/>
        <v>0.625</v>
      </c>
      <c r="G29" s="25"/>
      <c r="H29" s="27">
        <f t="shared" si="4"/>
        <v>1.625</v>
      </c>
      <c r="I29" s="27">
        <f t="shared" si="2"/>
        <v>1.625</v>
      </c>
      <c r="J29" s="25"/>
      <c r="K29" s="25"/>
      <c r="L29" s="42"/>
      <c r="M29" s="3"/>
      <c r="N29" s="3"/>
      <c r="O29" s="3"/>
      <c r="P29" s="3"/>
    </row>
    <row r="30" spans="1:16">
      <c r="A30" s="41">
        <v>44202</v>
      </c>
      <c r="B30" s="25" t="s">
        <v>66</v>
      </c>
      <c r="C30" s="25" t="s">
        <v>76</v>
      </c>
      <c r="D30" s="25"/>
      <c r="E30" s="25"/>
      <c r="F30" s="25"/>
      <c r="G30" s="25"/>
      <c r="H30" s="25"/>
      <c r="I30" s="27"/>
      <c r="J30" s="25"/>
      <c r="K30" s="25"/>
      <c r="L30" s="42"/>
      <c r="M30" s="3"/>
      <c r="N30" s="3"/>
      <c r="O30" s="3"/>
      <c r="P30" s="3"/>
    </row>
    <row r="31" spans="1:16">
      <c r="A31" s="41">
        <v>44210</v>
      </c>
      <c r="B31" s="25" t="s">
        <v>68</v>
      </c>
      <c r="C31" s="25" t="s">
        <v>69</v>
      </c>
      <c r="D31" s="25"/>
      <c r="E31" s="25"/>
      <c r="F31" s="25"/>
      <c r="G31" s="25"/>
      <c r="H31" s="25"/>
      <c r="I31" s="27"/>
      <c r="J31" s="25"/>
      <c r="K31" s="25"/>
      <c r="L31" s="42"/>
      <c r="M31" s="3"/>
      <c r="N31" s="3"/>
      <c r="O31" s="3"/>
      <c r="P31" s="3"/>
    </row>
    <row r="32" spans="1:16">
      <c r="A32" s="41">
        <v>44211</v>
      </c>
      <c r="B32" s="25" t="s">
        <v>75</v>
      </c>
      <c r="C32" s="25" t="s">
        <v>69</v>
      </c>
      <c r="D32" s="25"/>
      <c r="E32" s="25"/>
      <c r="F32" s="25"/>
      <c r="G32" s="25"/>
      <c r="H32" s="25"/>
      <c r="I32" s="27"/>
      <c r="J32" s="25"/>
      <c r="K32" s="25"/>
      <c r="L32" s="42"/>
      <c r="M32" s="3"/>
      <c r="N32" s="3"/>
      <c r="O32" s="3"/>
      <c r="P32" s="3"/>
    </row>
    <row r="33" spans="1:16">
      <c r="A33" s="41">
        <v>44205</v>
      </c>
      <c r="B33" s="25" t="s">
        <v>70</v>
      </c>
      <c r="C33" s="25" t="s">
        <v>71</v>
      </c>
      <c r="D33" s="25"/>
      <c r="E33" s="25"/>
      <c r="F33" s="25"/>
      <c r="G33" s="25"/>
      <c r="H33" s="25"/>
      <c r="I33" s="27"/>
      <c r="J33" s="25"/>
      <c r="K33" s="25"/>
      <c r="L33" s="42"/>
      <c r="M33" s="3"/>
      <c r="N33" s="3"/>
      <c r="O33" s="3"/>
      <c r="P33" s="3"/>
    </row>
    <row r="34" spans="1:16">
      <c r="A34" s="41">
        <v>44206</v>
      </c>
      <c r="B34" s="25" t="s">
        <v>72</v>
      </c>
      <c r="C34" s="25" t="s">
        <v>71</v>
      </c>
      <c r="D34" s="25"/>
      <c r="E34" s="25"/>
      <c r="F34" s="25"/>
      <c r="G34" s="25"/>
      <c r="H34" s="25"/>
      <c r="I34" s="27"/>
      <c r="J34" s="25"/>
      <c r="K34" s="25"/>
      <c r="L34" s="42"/>
      <c r="M34" s="3"/>
      <c r="N34" s="3"/>
      <c r="O34" s="3"/>
      <c r="P34" s="3"/>
    </row>
    <row r="35" spans="1:16">
      <c r="A35" s="43">
        <v>44207</v>
      </c>
      <c r="B35" s="28" t="s">
        <v>73</v>
      </c>
      <c r="C35" s="29" t="s">
        <v>77</v>
      </c>
      <c r="D35" s="28">
        <v>1</v>
      </c>
      <c r="E35" s="28">
        <v>1</v>
      </c>
      <c r="F35" s="30">
        <f t="shared" ref="F35:F37" si="5">$E$7</f>
        <v>0.625</v>
      </c>
      <c r="G35" s="28"/>
      <c r="H35" s="31">
        <f t="shared" ref="H35:H37" si="6">+$M$6</f>
        <v>1.625</v>
      </c>
      <c r="I35" s="31">
        <f t="shared" si="2"/>
        <v>1.625</v>
      </c>
      <c r="J35" s="31">
        <f>+H35</f>
        <v>1.625</v>
      </c>
      <c r="K35" s="28"/>
      <c r="L35" s="44">
        <f>+K35+J35</f>
        <v>1.625</v>
      </c>
      <c r="M35" s="3"/>
      <c r="N35" s="3"/>
      <c r="O35" s="3"/>
      <c r="P35" s="3"/>
    </row>
    <row r="36" spans="1:16">
      <c r="A36" s="41">
        <v>44208</v>
      </c>
      <c r="B36" s="25" t="s">
        <v>74</v>
      </c>
      <c r="C36" s="25" t="s">
        <v>67</v>
      </c>
      <c r="D36" s="25">
        <v>1</v>
      </c>
      <c r="E36" s="25">
        <v>1</v>
      </c>
      <c r="F36" s="26">
        <f t="shared" si="5"/>
        <v>0.625</v>
      </c>
      <c r="G36" s="25"/>
      <c r="H36" s="27">
        <f t="shared" si="6"/>
        <v>1.625</v>
      </c>
      <c r="I36" s="27">
        <f t="shared" si="2"/>
        <v>1.625</v>
      </c>
      <c r="J36" s="27">
        <f>+H36</f>
        <v>1.625</v>
      </c>
      <c r="K36" s="25"/>
      <c r="L36" s="45">
        <f>+K36+J36</f>
        <v>1.625</v>
      </c>
      <c r="M36" s="3"/>
      <c r="N36" s="3"/>
      <c r="O36" s="3"/>
      <c r="P36" s="3"/>
    </row>
    <row r="37" spans="1:16">
      <c r="A37" s="41">
        <v>44209</v>
      </c>
      <c r="B37" s="25" t="s">
        <v>66</v>
      </c>
      <c r="C37" s="25" t="s">
        <v>67</v>
      </c>
      <c r="D37" s="25">
        <v>1</v>
      </c>
      <c r="E37" s="25">
        <v>1</v>
      </c>
      <c r="F37" s="26">
        <f t="shared" si="5"/>
        <v>0.625</v>
      </c>
      <c r="G37" s="25"/>
      <c r="H37" s="27">
        <f t="shared" si="6"/>
        <v>1.625</v>
      </c>
      <c r="I37" s="27">
        <f t="shared" si="2"/>
        <v>1.625</v>
      </c>
      <c r="J37" s="27">
        <f t="shared" ref="J37:J100" si="7">+H37</f>
        <v>1.625</v>
      </c>
      <c r="K37" s="25"/>
      <c r="L37" s="45">
        <f t="shared" ref="L37:L100" si="8">+K37+J37</f>
        <v>1.625</v>
      </c>
      <c r="M37" s="3"/>
      <c r="N37" s="3"/>
      <c r="O37" s="3"/>
      <c r="P37" s="3"/>
    </row>
    <row r="38" spans="1:16">
      <c r="A38" s="41">
        <v>44217</v>
      </c>
      <c r="B38" s="25" t="s">
        <v>68</v>
      </c>
      <c r="C38" s="25" t="s">
        <v>69</v>
      </c>
      <c r="D38" s="25"/>
      <c r="E38" s="25"/>
      <c r="F38" s="25"/>
      <c r="G38" s="25"/>
      <c r="H38" s="25"/>
      <c r="I38" s="27"/>
      <c r="J38" s="27">
        <f t="shared" si="7"/>
        <v>0</v>
      </c>
      <c r="K38" s="25"/>
      <c r="L38" s="45">
        <f t="shared" si="8"/>
        <v>0</v>
      </c>
      <c r="M38" s="3"/>
      <c r="N38" s="3"/>
      <c r="O38" s="3"/>
      <c r="P38" s="3"/>
    </row>
    <row r="39" spans="1:16">
      <c r="A39" s="41">
        <v>44218</v>
      </c>
      <c r="B39" s="25" t="s">
        <v>75</v>
      </c>
      <c r="C39" s="25" t="s">
        <v>69</v>
      </c>
      <c r="D39" s="25"/>
      <c r="E39" s="25"/>
      <c r="F39" s="25"/>
      <c r="G39" s="25"/>
      <c r="H39" s="25"/>
      <c r="I39" s="27"/>
      <c r="J39" s="27">
        <f t="shared" si="7"/>
        <v>0</v>
      </c>
      <c r="K39" s="25"/>
      <c r="L39" s="45">
        <f t="shared" si="8"/>
        <v>0</v>
      </c>
      <c r="M39" s="3"/>
      <c r="N39" s="3"/>
      <c r="O39" s="3"/>
      <c r="P39" s="3"/>
    </row>
    <row r="40" spans="1:16">
      <c r="A40" s="41">
        <v>44212</v>
      </c>
      <c r="B40" s="25" t="s">
        <v>70</v>
      </c>
      <c r="C40" s="25" t="s">
        <v>71</v>
      </c>
      <c r="D40" s="25"/>
      <c r="E40" s="25"/>
      <c r="F40" s="25"/>
      <c r="G40" s="25"/>
      <c r="H40" s="25"/>
      <c r="I40" s="27"/>
      <c r="J40" s="27">
        <f t="shared" si="7"/>
        <v>0</v>
      </c>
      <c r="K40" s="25"/>
      <c r="L40" s="45">
        <f t="shared" si="8"/>
        <v>0</v>
      </c>
      <c r="M40" s="3"/>
      <c r="N40" s="3"/>
      <c r="O40" s="3"/>
      <c r="P40" s="3"/>
    </row>
    <row r="41" spans="1:16">
      <c r="A41" s="41">
        <v>44213</v>
      </c>
      <c r="B41" s="25" t="s">
        <v>72</v>
      </c>
      <c r="C41" s="25" t="s">
        <v>71</v>
      </c>
      <c r="D41" s="25"/>
      <c r="E41" s="25"/>
      <c r="F41" s="25"/>
      <c r="G41" s="25"/>
      <c r="H41" s="25"/>
      <c r="I41" s="27"/>
      <c r="J41" s="27">
        <f t="shared" si="7"/>
        <v>0</v>
      </c>
      <c r="K41" s="25"/>
      <c r="L41" s="45">
        <f t="shared" si="8"/>
        <v>0</v>
      </c>
      <c r="M41" s="3"/>
      <c r="N41" s="3"/>
      <c r="O41" s="3"/>
      <c r="P41" s="3"/>
    </row>
    <row r="42" spans="1:16">
      <c r="A42" s="41">
        <v>44214</v>
      </c>
      <c r="B42" s="25" t="s">
        <v>73</v>
      </c>
      <c r="C42" s="25" t="s">
        <v>67</v>
      </c>
      <c r="D42" s="25">
        <v>1</v>
      </c>
      <c r="E42" s="25">
        <v>1</v>
      </c>
      <c r="F42" s="26">
        <f t="shared" ref="F42:F44" si="9">$E$7</f>
        <v>0.625</v>
      </c>
      <c r="G42" s="25"/>
      <c r="H42" s="27">
        <f t="shared" ref="H42:H44" si="10">+$M$6</f>
        <v>1.625</v>
      </c>
      <c r="I42" s="27">
        <f t="shared" si="2"/>
        <v>1.625</v>
      </c>
      <c r="J42" s="27">
        <f t="shared" si="7"/>
        <v>1.625</v>
      </c>
      <c r="K42" s="25"/>
      <c r="L42" s="45">
        <f t="shared" si="8"/>
        <v>1.625</v>
      </c>
      <c r="M42" s="3"/>
      <c r="N42" s="3"/>
      <c r="O42" s="3"/>
      <c r="P42" s="3"/>
    </row>
    <row r="43" spans="1:16">
      <c r="A43" s="41">
        <v>44215</v>
      </c>
      <c r="B43" s="25" t="s">
        <v>74</v>
      </c>
      <c r="C43" s="25" t="s">
        <v>67</v>
      </c>
      <c r="D43" s="25">
        <v>1</v>
      </c>
      <c r="E43" s="25">
        <v>1</v>
      </c>
      <c r="F43" s="26">
        <f t="shared" si="9"/>
        <v>0.625</v>
      </c>
      <c r="G43" s="25"/>
      <c r="H43" s="27">
        <f t="shared" si="10"/>
        <v>1.625</v>
      </c>
      <c r="I43" s="27">
        <f t="shared" si="2"/>
        <v>1.625</v>
      </c>
      <c r="J43" s="27">
        <f t="shared" si="7"/>
        <v>1.625</v>
      </c>
      <c r="K43" s="25"/>
      <c r="L43" s="45">
        <f t="shared" si="8"/>
        <v>1.625</v>
      </c>
      <c r="M43" s="3"/>
      <c r="N43" s="3"/>
      <c r="O43" s="3"/>
      <c r="P43" s="3"/>
    </row>
    <row r="44" spans="1:16">
      <c r="A44" s="41">
        <v>44216</v>
      </c>
      <c r="B44" s="25" t="s">
        <v>66</v>
      </c>
      <c r="C44" s="25" t="s">
        <v>67</v>
      </c>
      <c r="D44" s="25">
        <v>1</v>
      </c>
      <c r="E44" s="25">
        <v>1</v>
      </c>
      <c r="F44" s="26">
        <f t="shared" si="9"/>
        <v>0.625</v>
      </c>
      <c r="G44" s="25"/>
      <c r="H44" s="27">
        <f t="shared" si="10"/>
        <v>1.625</v>
      </c>
      <c r="I44" s="27">
        <f t="shared" si="2"/>
        <v>1.625</v>
      </c>
      <c r="J44" s="27">
        <f t="shared" si="7"/>
        <v>1.625</v>
      </c>
      <c r="K44" s="25"/>
      <c r="L44" s="45">
        <f t="shared" si="8"/>
        <v>1.625</v>
      </c>
      <c r="M44" s="3"/>
      <c r="N44" s="3"/>
      <c r="O44" s="3"/>
      <c r="P44" s="3"/>
    </row>
    <row r="45" spans="1:16">
      <c r="A45" s="41">
        <v>44224</v>
      </c>
      <c r="B45" s="25" t="s">
        <v>68</v>
      </c>
      <c r="C45" s="25" t="s">
        <v>69</v>
      </c>
      <c r="D45" s="25"/>
      <c r="E45" s="25"/>
      <c r="F45" s="25"/>
      <c r="G45" s="25"/>
      <c r="H45" s="25"/>
      <c r="I45" s="27"/>
      <c r="J45" s="27">
        <f t="shared" si="7"/>
        <v>0</v>
      </c>
      <c r="K45" s="25"/>
      <c r="L45" s="45">
        <f t="shared" si="8"/>
        <v>0</v>
      </c>
      <c r="M45" s="3"/>
      <c r="N45" s="3"/>
      <c r="O45" s="3"/>
      <c r="P45" s="3"/>
    </row>
    <row r="46" spans="1:16">
      <c r="A46" s="41">
        <v>44225</v>
      </c>
      <c r="B46" s="25" t="s">
        <v>75</v>
      </c>
      <c r="C46" s="25" t="s">
        <v>69</v>
      </c>
      <c r="D46" s="25"/>
      <c r="E46" s="25"/>
      <c r="F46" s="25"/>
      <c r="G46" s="25"/>
      <c r="H46" s="25"/>
      <c r="I46" s="27"/>
      <c r="J46" s="27">
        <f t="shared" si="7"/>
        <v>0</v>
      </c>
      <c r="K46" s="25"/>
      <c r="L46" s="45">
        <f t="shared" si="8"/>
        <v>0</v>
      </c>
      <c r="M46" s="3"/>
      <c r="N46" s="3"/>
      <c r="O46" s="3"/>
      <c r="P46" s="3"/>
    </row>
    <row r="47" spans="1:16">
      <c r="A47" s="41">
        <v>44219</v>
      </c>
      <c r="B47" s="25" t="s">
        <v>70</v>
      </c>
      <c r="C47" s="25" t="s">
        <v>71</v>
      </c>
      <c r="D47" s="25"/>
      <c r="E47" s="25"/>
      <c r="F47" s="25"/>
      <c r="G47" s="25"/>
      <c r="H47" s="25"/>
      <c r="I47" s="27"/>
      <c r="J47" s="27">
        <f t="shared" si="7"/>
        <v>0</v>
      </c>
      <c r="K47" s="25"/>
      <c r="L47" s="45">
        <f t="shared" si="8"/>
        <v>0</v>
      </c>
      <c r="M47" s="3"/>
      <c r="N47" s="3"/>
      <c r="O47" s="3"/>
      <c r="P47" s="3"/>
    </row>
    <row r="48" spans="1:16">
      <c r="A48" s="41">
        <v>44220</v>
      </c>
      <c r="B48" s="25" t="s">
        <v>72</v>
      </c>
      <c r="C48" s="25" t="s">
        <v>71</v>
      </c>
      <c r="D48" s="25"/>
      <c r="E48" s="25"/>
      <c r="F48" s="25"/>
      <c r="G48" s="25"/>
      <c r="H48" s="25"/>
      <c r="I48" s="27"/>
      <c r="J48" s="27">
        <f t="shared" si="7"/>
        <v>0</v>
      </c>
      <c r="K48" s="25"/>
      <c r="L48" s="45">
        <f t="shared" si="8"/>
        <v>0</v>
      </c>
      <c r="M48" s="3"/>
      <c r="N48" s="3"/>
      <c r="O48" s="3"/>
      <c r="P48" s="3"/>
    </row>
    <row r="49" spans="1:16">
      <c r="A49" s="41">
        <v>44221</v>
      </c>
      <c r="B49" s="25" t="s">
        <v>73</v>
      </c>
      <c r="C49" s="25" t="s">
        <v>76</v>
      </c>
      <c r="D49" s="25"/>
      <c r="E49" s="25"/>
      <c r="F49" s="25"/>
      <c r="G49" s="25"/>
      <c r="H49" s="25"/>
      <c r="I49" s="27"/>
      <c r="J49" s="27">
        <f t="shared" si="7"/>
        <v>0</v>
      </c>
      <c r="K49" s="25"/>
      <c r="L49" s="45">
        <f t="shared" si="8"/>
        <v>0</v>
      </c>
      <c r="M49" s="3"/>
      <c r="N49" s="3"/>
      <c r="O49" s="3"/>
      <c r="P49" s="3"/>
    </row>
    <row r="50" spans="1:16">
      <c r="A50" s="41">
        <v>44222</v>
      </c>
      <c r="B50" s="25" t="s">
        <v>74</v>
      </c>
      <c r="C50" s="25" t="s">
        <v>67</v>
      </c>
      <c r="D50" s="25">
        <v>1</v>
      </c>
      <c r="E50" s="25">
        <v>1</v>
      </c>
      <c r="F50" s="26">
        <f t="shared" ref="F50:F51" si="11">$E$7</f>
        <v>0.625</v>
      </c>
      <c r="G50" s="25"/>
      <c r="H50" s="27">
        <f t="shared" ref="H50:H51" si="12">+$M$6</f>
        <v>1.625</v>
      </c>
      <c r="I50" s="27">
        <f t="shared" si="2"/>
        <v>1.625</v>
      </c>
      <c r="J50" s="27">
        <f t="shared" si="7"/>
        <v>1.625</v>
      </c>
      <c r="K50" s="25"/>
      <c r="L50" s="45">
        <f t="shared" si="8"/>
        <v>1.625</v>
      </c>
      <c r="M50" s="3"/>
      <c r="N50" s="3"/>
      <c r="O50" s="3"/>
      <c r="P50" s="3"/>
    </row>
    <row r="51" spans="1:16">
      <c r="A51" s="41">
        <v>44223</v>
      </c>
      <c r="B51" s="25" t="s">
        <v>66</v>
      </c>
      <c r="C51" s="25" t="s">
        <v>67</v>
      </c>
      <c r="D51" s="25">
        <v>1</v>
      </c>
      <c r="E51" s="25">
        <v>1</v>
      </c>
      <c r="F51" s="26">
        <f t="shared" si="11"/>
        <v>0.625</v>
      </c>
      <c r="G51" s="25"/>
      <c r="H51" s="27">
        <f t="shared" si="12"/>
        <v>1.625</v>
      </c>
      <c r="I51" s="27">
        <f t="shared" si="2"/>
        <v>1.625</v>
      </c>
      <c r="J51" s="27">
        <f t="shared" si="7"/>
        <v>1.625</v>
      </c>
      <c r="K51" s="25"/>
      <c r="L51" s="45">
        <f t="shared" si="8"/>
        <v>1.625</v>
      </c>
      <c r="M51" s="3"/>
      <c r="N51" s="3"/>
      <c r="O51" s="3"/>
      <c r="P51" s="3"/>
    </row>
    <row r="52" spans="1:16">
      <c r="A52" s="41">
        <v>44231</v>
      </c>
      <c r="B52" s="25" t="s">
        <v>68</v>
      </c>
      <c r="C52" s="25" t="s">
        <v>69</v>
      </c>
      <c r="D52" s="25"/>
      <c r="E52" s="25"/>
      <c r="F52" s="25"/>
      <c r="G52" s="25"/>
      <c r="H52" s="25"/>
      <c r="I52" s="27"/>
      <c r="J52" s="27">
        <f t="shared" si="7"/>
        <v>0</v>
      </c>
      <c r="K52" s="25"/>
      <c r="L52" s="45">
        <f t="shared" si="8"/>
        <v>0</v>
      </c>
      <c r="M52" s="3"/>
      <c r="N52" s="3"/>
      <c r="O52" s="3"/>
      <c r="P52" s="3"/>
    </row>
    <row r="53" spans="1:16">
      <c r="A53" s="41">
        <v>44232</v>
      </c>
      <c r="B53" s="25" t="s">
        <v>75</v>
      </c>
      <c r="C53" s="25" t="s">
        <v>69</v>
      </c>
      <c r="D53" s="25"/>
      <c r="E53" s="25"/>
      <c r="F53" s="25"/>
      <c r="G53" s="25"/>
      <c r="H53" s="25"/>
      <c r="I53" s="27"/>
      <c r="J53" s="27">
        <f t="shared" si="7"/>
        <v>0</v>
      </c>
      <c r="K53" s="25"/>
      <c r="L53" s="45">
        <f t="shared" si="8"/>
        <v>0</v>
      </c>
      <c r="M53" s="3"/>
      <c r="N53" s="3"/>
      <c r="O53" s="3"/>
      <c r="P53" s="3"/>
    </row>
    <row r="54" spans="1:16">
      <c r="A54" s="41">
        <v>44226</v>
      </c>
      <c r="B54" s="25" t="s">
        <v>70</v>
      </c>
      <c r="C54" s="25" t="s">
        <v>71</v>
      </c>
      <c r="D54" s="25"/>
      <c r="E54" s="25"/>
      <c r="F54" s="25"/>
      <c r="G54" s="25"/>
      <c r="H54" s="25"/>
      <c r="I54" s="27"/>
      <c r="J54" s="27">
        <f t="shared" si="7"/>
        <v>0</v>
      </c>
      <c r="K54" s="25"/>
      <c r="L54" s="45">
        <f t="shared" si="8"/>
        <v>0</v>
      </c>
      <c r="M54" s="3"/>
      <c r="N54" s="3"/>
      <c r="O54" s="3"/>
      <c r="P54" s="3"/>
    </row>
    <row r="55" spans="1:16">
      <c r="A55" s="41">
        <v>44227</v>
      </c>
      <c r="B55" s="25" t="s">
        <v>72</v>
      </c>
      <c r="C55" s="25" t="s">
        <v>71</v>
      </c>
      <c r="D55" s="25"/>
      <c r="E55" s="25"/>
      <c r="F55" s="25"/>
      <c r="G55" s="25"/>
      <c r="H55" s="25"/>
      <c r="I55" s="27"/>
      <c r="J55" s="27">
        <f t="shared" si="7"/>
        <v>0</v>
      </c>
      <c r="K55" s="25"/>
      <c r="L55" s="45">
        <f t="shared" si="8"/>
        <v>0</v>
      </c>
      <c r="M55" s="3"/>
      <c r="N55" s="3"/>
      <c r="O55" s="3"/>
      <c r="P55" s="3"/>
    </row>
    <row r="56" spans="1:16">
      <c r="A56" s="41">
        <v>44228</v>
      </c>
      <c r="B56" s="25" t="s">
        <v>73</v>
      </c>
      <c r="C56" s="25" t="s">
        <v>67</v>
      </c>
      <c r="D56" s="25">
        <v>1</v>
      </c>
      <c r="E56" s="25">
        <v>1</v>
      </c>
      <c r="F56" s="26">
        <f t="shared" ref="F56:F58" si="13">$E$7</f>
        <v>0.625</v>
      </c>
      <c r="G56" s="25"/>
      <c r="H56" s="27">
        <f t="shared" ref="H56:H58" si="14">+$M$6</f>
        <v>1.625</v>
      </c>
      <c r="I56" s="27">
        <f t="shared" si="2"/>
        <v>1.625</v>
      </c>
      <c r="J56" s="27">
        <f t="shared" si="7"/>
        <v>1.625</v>
      </c>
      <c r="K56" s="25"/>
      <c r="L56" s="45">
        <f t="shared" si="8"/>
        <v>1.625</v>
      </c>
      <c r="M56" s="3"/>
      <c r="N56" s="3"/>
      <c r="O56" s="3"/>
      <c r="P56" s="3"/>
    </row>
    <row r="57" spans="1:16">
      <c r="A57" s="41">
        <v>44229</v>
      </c>
      <c r="B57" s="25" t="s">
        <v>74</v>
      </c>
      <c r="C57" s="25" t="s">
        <v>67</v>
      </c>
      <c r="D57" s="25">
        <v>1</v>
      </c>
      <c r="E57" s="25">
        <v>1</v>
      </c>
      <c r="F57" s="26">
        <f t="shared" si="13"/>
        <v>0.625</v>
      </c>
      <c r="G57" s="25"/>
      <c r="H57" s="27">
        <f t="shared" si="14"/>
        <v>1.625</v>
      </c>
      <c r="I57" s="27">
        <f t="shared" si="2"/>
        <v>1.625</v>
      </c>
      <c r="J57" s="27">
        <f t="shared" si="7"/>
        <v>1.625</v>
      </c>
      <c r="K57" s="25"/>
      <c r="L57" s="45">
        <f t="shared" si="8"/>
        <v>1.625</v>
      </c>
      <c r="M57" s="3"/>
      <c r="N57" s="3"/>
      <c r="O57" s="3"/>
      <c r="P57" s="3"/>
    </row>
    <row r="58" spans="1:16">
      <c r="A58" s="41">
        <v>44230</v>
      </c>
      <c r="B58" s="25" t="s">
        <v>66</v>
      </c>
      <c r="C58" s="25" t="s">
        <v>67</v>
      </c>
      <c r="D58" s="25">
        <v>1</v>
      </c>
      <c r="E58" s="25">
        <v>1</v>
      </c>
      <c r="F58" s="26">
        <f t="shared" si="13"/>
        <v>0.625</v>
      </c>
      <c r="G58" s="25"/>
      <c r="H58" s="27">
        <f t="shared" si="14"/>
        <v>1.625</v>
      </c>
      <c r="I58" s="27">
        <f t="shared" si="2"/>
        <v>1.625</v>
      </c>
      <c r="J58" s="27">
        <f t="shared" si="7"/>
        <v>1.625</v>
      </c>
      <c r="K58" s="25"/>
      <c r="L58" s="45">
        <f t="shared" si="8"/>
        <v>1.625</v>
      </c>
      <c r="M58" s="3"/>
      <c r="N58" s="3"/>
      <c r="O58" s="3"/>
      <c r="P58" s="3"/>
    </row>
    <row r="59" spans="1:16">
      <c r="A59" s="41">
        <v>44238</v>
      </c>
      <c r="B59" s="25" t="s">
        <v>68</v>
      </c>
      <c r="C59" s="25" t="s">
        <v>69</v>
      </c>
      <c r="D59" s="25"/>
      <c r="E59" s="25"/>
      <c r="F59" s="25"/>
      <c r="G59" s="25"/>
      <c r="H59" s="25"/>
      <c r="I59" s="27"/>
      <c r="J59" s="27">
        <f t="shared" si="7"/>
        <v>0</v>
      </c>
      <c r="K59" s="25"/>
      <c r="L59" s="45">
        <f t="shared" si="8"/>
        <v>0</v>
      </c>
      <c r="M59" s="3"/>
      <c r="N59" s="3"/>
      <c r="O59" s="3"/>
      <c r="P59" s="3"/>
    </row>
    <row r="60" spans="1:16">
      <c r="A60" s="41">
        <v>44239</v>
      </c>
      <c r="B60" s="25" t="s">
        <v>75</v>
      </c>
      <c r="C60" s="25" t="s">
        <v>69</v>
      </c>
      <c r="D60" s="25"/>
      <c r="E60" s="25"/>
      <c r="F60" s="25"/>
      <c r="G60" s="25"/>
      <c r="H60" s="25"/>
      <c r="I60" s="27"/>
      <c r="J60" s="27">
        <f t="shared" si="7"/>
        <v>0</v>
      </c>
      <c r="K60" s="25"/>
      <c r="L60" s="45">
        <f t="shared" si="8"/>
        <v>0</v>
      </c>
      <c r="M60" s="3"/>
      <c r="N60" s="3"/>
      <c r="O60" s="3"/>
      <c r="P60" s="3"/>
    </row>
    <row r="61" spans="1:16">
      <c r="A61" s="41">
        <v>44233</v>
      </c>
      <c r="B61" s="25" t="s">
        <v>70</v>
      </c>
      <c r="C61" s="25" t="s">
        <v>71</v>
      </c>
      <c r="D61" s="25"/>
      <c r="E61" s="25"/>
      <c r="F61" s="25"/>
      <c r="G61" s="25"/>
      <c r="H61" s="25"/>
      <c r="I61" s="27"/>
      <c r="J61" s="27">
        <f t="shared" si="7"/>
        <v>0</v>
      </c>
      <c r="K61" s="25"/>
      <c r="L61" s="45">
        <f t="shared" si="8"/>
        <v>0</v>
      </c>
      <c r="M61" s="3"/>
      <c r="N61" s="3"/>
      <c r="O61" s="3"/>
      <c r="P61" s="3"/>
    </row>
    <row r="62" spans="1:16">
      <c r="A62" s="41">
        <v>44234</v>
      </c>
      <c r="B62" s="25" t="s">
        <v>72</v>
      </c>
      <c r="C62" s="25" t="s">
        <v>71</v>
      </c>
      <c r="D62" s="25"/>
      <c r="E62" s="25"/>
      <c r="F62" s="25"/>
      <c r="G62" s="25"/>
      <c r="H62" s="25"/>
      <c r="I62" s="27"/>
      <c r="J62" s="27">
        <f t="shared" si="7"/>
        <v>0</v>
      </c>
      <c r="K62" s="25"/>
      <c r="L62" s="45">
        <f t="shared" si="8"/>
        <v>0</v>
      </c>
      <c r="M62" s="3"/>
      <c r="N62" s="3"/>
      <c r="O62" s="3"/>
      <c r="P62" s="3"/>
    </row>
    <row r="63" spans="1:16">
      <c r="A63" s="41">
        <v>44235</v>
      </c>
      <c r="B63" s="25" t="s">
        <v>73</v>
      </c>
      <c r="C63" s="25" t="s">
        <v>76</v>
      </c>
      <c r="D63" s="25"/>
      <c r="E63" s="25"/>
      <c r="F63" s="25"/>
      <c r="G63" s="25"/>
      <c r="H63" s="25"/>
      <c r="I63" s="27"/>
      <c r="J63" s="27">
        <f t="shared" si="7"/>
        <v>0</v>
      </c>
      <c r="K63" s="25"/>
      <c r="L63" s="45">
        <f t="shared" si="8"/>
        <v>0</v>
      </c>
      <c r="M63" s="3"/>
      <c r="N63" s="3"/>
      <c r="O63" s="3"/>
      <c r="P63" s="3"/>
    </row>
    <row r="64" spans="1:16">
      <c r="A64" s="41">
        <v>44236</v>
      </c>
      <c r="B64" s="25" t="s">
        <v>74</v>
      </c>
      <c r="C64" s="25" t="s">
        <v>67</v>
      </c>
      <c r="D64" s="25">
        <v>1</v>
      </c>
      <c r="E64" s="25">
        <v>1</v>
      </c>
      <c r="F64" s="26">
        <f t="shared" ref="F64:F65" si="15">$E$7</f>
        <v>0.625</v>
      </c>
      <c r="G64" s="25"/>
      <c r="H64" s="27">
        <f t="shared" ref="H64:H65" si="16">+$M$6</f>
        <v>1.625</v>
      </c>
      <c r="I64" s="27">
        <f t="shared" si="2"/>
        <v>1.625</v>
      </c>
      <c r="J64" s="27">
        <f t="shared" si="7"/>
        <v>1.625</v>
      </c>
      <c r="K64" s="25"/>
      <c r="L64" s="45">
        <f t="shared" si="8"/>
        <v>1.625</v>
      </c>
      <c r="M64" s="3"/>
      <c r="N64" s="3"/>
      <c r="O64" s="3"/>
      <c r="P64" s="3"/>
    </row>
    <row r="65" spans="1:16">
      <c r="A65" s="41">
        <v>44237</v>
      </c>
      <c r="B65" s="25" t="s">
        <v>66</v>
      </c>
      <c r="C65" s="25" t="s">
        <v>67</v>
      </c>
      <c r="D65" s="25">
        <v>1</v>
      </c>
      <c r="E65" s="25">
        <v>1</v>
      </c>
      <c r="F65" s="26">
        <f t="shared" si="15"/>
        <v>0.625</v>
      </c>
      <c r="G65" s="25"/>
      <c r="H65" s="27">
        <f t="shared" si="16"/>
        <v>1.625</v>
      </c>
      <c r="I65" s="27">
        <f t="shared" si="2"/>
        <v>1.625</v>
      </c>
      <c r="J65" s="27">
        <f t="shared" si="7"/>
        <v>1.625</v>
      </c>
      <c r="K65" s="25"/>
      <c r="L65" s="45">
        <f t="shared" si="8"/>
        <v>1.625</v>
      </c>
      <c r="M65" s="3"/>
      <c r="N65" s="3"/>
      <c r="O65" s="3"/>
      <c r="P65" s="3"/>
    </row>
    <row r="66" spans="1:16">
      <c r="A66" s="41">
        <v>44245</v>
      </c>
      <c r="B66" s="25" t="s">
        <v>68</v>
      </c>
      <c r="C66" s="25" t="s">
        <v>69</v>
      </c>
      <c r="D66" s="25"/>
      <c r="E66" s="25"/>
      <c r="F66" s="25"/>
      <c r="G66" s="25"/>
      <c r="H66" s="25"/>
      <c r="I66" s="27"/>
      <c r="J66" s="27">
        <f t="shared" si="7"/>
        <v>0</v>
      </c>
      <c r="K66" s="25"/>
      <c r="L66" s="45">
        <f t="shared" si="8"/>
        <v>0</v>
      </c>
      <c r="M66" s="3"/>
      <c r="N66" s="3"/>
      <c r="O66" s="3"/>
      <c r="P66" s="3"/>
    </row>
    <row r="67" spans="1:16">
      <c r="A67" s="41">
        <v>44246</v>
      </c>
      <c r="B67" s="25" t="s">
        <v>75</v>
      </c>
      <c r="C67" s="25" t="s">
        <v>69</v>
      </c>
      <c r="D67" s="25"/>
      <c r="E67" s="25"/>
      <c r="F67" s="25"/>
      <c r="G67" s="25"/>
      <c r="H67" s="25"/>
      <c r="I67" s="27"/>
      <c r="J67" s="27">
        <f t="shared" si="7"/>
        <v>0</v>
      </c>
      <c r="K67" s="25"/>
      <c r="L67" s="45">
        <f t="shared" si="8"/>
        <v>0</v>
      </c>
      <c r="M67" s="3"/>
      <c r="N67" s="3"/>
      <c r="O67" s="3"/>
      <c r="P67" s="3"/>
    </row>
    <row r="68" spans="1:16">
      <c r="A68" s="41">
        <v>44240</v>
      </c>
      <c r="B68" s="25" t="s">
        <v>70</v>
      </c>
      <c r="C68" s="25" t="s">
        <v>71</v>
      </c>
      <c r="D68" s="25"/>
      <c r="E68" s="25"/>
      <c r="F68" s="25"/>
      <c r="G68" s="25"/>
      <c r="H68" s="25"/>
      <c r="I68" s="27"/>
      <c r="J68" s="27">
        <f t="shared" si="7"/>
        <v>0</v>
      </c>
      <c r="K68" s="25"/>
      <c r="L68" s="45">
        <f t="shared" si="8"/>
        <v>0</v>
      </c>
      <c r="M68" s="3"/>
      <c r="N68" s="3"/>
      <c r="O68" s="3"/>
      <c r="P68" s="3"/>
    </row>
    <row r="69" spans="1:16">
      <c r="A69" s="41">
        <v>44241</v>
      </c>
      <c r="B69" s="25" t="s">
        <v>72</v>
      </c>
      <c r="C69" s="25" t="s">
        <v>71</v>
      </c>
      <c r="D69" s="25"/>
      <c r="E69" s="25"/>
      <c r="F69" s="25"/>
      <c r="G69" s="25"/>
      <c r="H69" s="25"/>
      <c r="I69" s="27"/>
      <c r="J69" s="27">
        <f t="shared" si="7"/>
        <v>0</v>
      </c>
      <c r="K69" s="25"/>
      <c r="L69" s="45">
        <f t="shared" si="8"/>
        <v>0</v>
      </c>
      <c r="M69" s="3"/>
      <c r="N69" s="3"/>
      <c r="O69" s="3"/>
      <c r="P69" s="3"/>
    </row>
    <row r="70" spans="1:16">
      <c r="A70" s="41">
        <v>44242</v>
      </c>
      <c r="B70" s="25" t="s">
        <v>73</v>
      </c>
      <c r="C70" s="25" t="s">
        <v>67</v>
      </c>
      <c r="D70" s="25">
        <v>1</v>
      </c>
      <c r="E70" s="25">
        <v>1</v>
      </c>
      <c r="F70" s="26">
        <f t="shared" ref="F70:F72" si="17">$E$7</f>
        <v>0.625</v>
      </c>
      <c r="G70" s="25"/>
      <c r="H70" s="27">
        <f t="shared" ref="H70:H72" si="18">+$M$6</f>
        <v>1.625</v>
      </c>
      <c r="I70" s="27">
        <f t="shared" si="2"/>
        <v>1.625</v>
      </c>
      <c r="J70" s="27">
        <f t="shared" si="7"/>
        <v>1.625</v>
      </c>
      <c r="K70" s="25"/>
      <c r="L70" s="45">
        <f t="shared" si="8"/>
        <v>1.625</v>
      </c>
      <c r="M70" s="3"/>
      <c r="N70" s="3"/>
      <c r="O70" s="3"/>
      <c r="P70" s="3"/>
    </row>
    <row r="71" spans="1:16">
      <c r="A71" s="41">
        <v>44243</v>
      </c>
      <c r="B71" s="25" t="s">
        <v>74</v>
      </c>
      <c r="C71" s="25" t="s">
        <v>67</v>
      </c>
      <c r="D71" s="25">
        <v>1</v>
      </c>
      <c r="E71" s="25">
        <v>1</v>
      </c>
      <c r="F71" s="26">
        <f t="shared" si="17"/>
        <v>0.625</v>
      </c>
      <c r="G71" s="25"/>
      <c r="H71" s="27">
        <f t="shared" si="18"/>
        <v>1.625</v>
      </c>
      <c r="I71" s="27">
        <f t="shared" si="2"/>
        <v>1.625</v>
      </c>
      <c r="J71" s="27">
        <f t="shared" si="7"/>
        <v>1.625</v>
      </c>
      <c r="K71" s="25"/>
      <c r="L71" s="45">
        <f t="shared" si="8"/>
        <v>1.625</v>
      </c>
      <c r="M71" s="3"/>
      <c r="N71" s="3"/>
      <c r="O71" s="3"/>
      <c r="P71" s="3"/>
    </row>
    <row r="72" spans="1:16">
      <c r="A72" s="41">
        <v>44244</v>
      </c>
      <c r="B72" s="25" t="s">
        <v>66</v>
      </c>
      <c r="C72" s="25" t="s">
        <v>67</v>
      </c>
      <c r="D72" s="25">
        <v>1</v>
      </c>
      <c r="E72" s="25">
        <v>1</v>
      </c>
      <c r="F72" s="26">
        <f t="shared" si="17"/>
        <v>0.625</v>
      </c>
      <c r="G72" s="25"/>
      <c r="H72" s="27">
        <f t="shared" si="18"/>
        <v>1.625</v>
      </c>
      <c r="I72" s="27">
        <f t="shared" si="2"/>
        <v>1.625</v>
      </c>
      <c r="J72" s="27">
        <f t="shared" si="7"/>
        <v>1.625</v>
      </c>
      <c r="K72" s="25"/>
      <c r="L72" s="45">
        <f t="shared" si="8"/>
        <v>1.625</v>
      </c>
      <c r="M72" s="3"/>
      <c r="N72" s="3"/>
      <c r="O72" s="3"/>
      <c r="P72" s="3"/>
    </row>
    <row r="73" spans="1:16">
      <c r="A73" s="41">
        <v>44252</v>
      </c>
      <c r="B73" s="25" t="s">
        <v>68</v>
      </c>
      <c r="C73" s="25" t="s">
        <v>69</v>
      </c>
      <c r="D73" s="25"/>
      <c r="E73" s="25"/>
      <c r="F73" s="25"/>
      <c r="G73" s="25"/>
      <c r="H73" s="25"/>
      <c r="I73" s="27"/>
      <c r="J73" s="27">
        <f t="shared" si="7"/>
        <v>0</v>
      </c>
      <c r="K73" s="25"/>
      <c r="L73" s="45">
        <f t="shared" si="8"/>
        <v>0</v>
      </c>
      <c r="M73" s="3"/>
      <c r="N73" s="3"/>
      <c r="O73" s="3"/>
      <c r="P73" s="3"/>
    </row>
    <row r="74" spans="1:16">
      <c r="A74" s="41">
        <v>44253</v>
      </c>
      <c r="B74" s="25" t="s">
        <v>75</v>
      </c>
      <c r="C74" s="25" t="s">
        <v>69</v>
      </c>
      <c r="D74" s="25"/>
      <c r="E74" s="25"/>
      <c r="F74" s="25"/>
      <c r="G74" s="25"/>
      <c r="H74" s="25"/>
      <c r="I74" s="27"/>
      <c r="J74" s="27">
        <f t="shared" si="7"/>
        <v>0</v>
      </c>
      <c r="K74" s="25"/>
      <c r="L74" s="45">
        <f t="shared" si="8"/>
        <v>0</v>
      </c>
      <c r="M74" s="3"/>
      <c r="N74" s="3"/>
      <c r="O74" s="3"/>
      <c r="P74" s="3"/>
    </row>
    <row r="75" spans="1:16">
      <c r="A75" s="41">
        <v>44247</v>
      </c>
      <c r="B75" s="25" t="s">
        <v>70</v>
      </c>
      <c r="C75" s="25" t="s">
        <v>71</v>
      </c>
      <c r="D75" s="25"/>
      <c r="E75" s="25"/>
      <c r="F75" s="25"/>
      <c r="G75" s="25"/>
      <c r="H75" s="25"/>
      <c r="I75" s="27"/>
      <c r="J75" s="27">
        <f t="shared" si="7"/>
        <v>0</v>
      </c>
      <c r="K75" s="25"/>
      <c r="L75" s="45">
        <f t="shared" si="8"/>
        <v>0</v>
      </c>
      <c r="M75" s="3"/>
      <c r="N75" s="3"/>
      <c r="O75" s="3"/>
      <c r="P75" s="3"/>
    </row>
    <row r="76" spans="1:16">
      <c r="A76" s="41">
        <v>44248</v>
      </c>
      <c r="B76" s="25" t="s">
        <v>72</v>
      </c>
      <c r="C76" s="25" t="s">
        <v>71</v>
      </c>
      <c r="D76" s="25"/>
      <c r="E76" s="25"/>
      <c r="F76" s="25"/>
      <c r="G76" s="25"/>
      <c r="H76" s="25"/>
      <c r="I76" s="27"/>
      <c r="J76" s="27">
        <f t="shared" si="7"/>
        <v>0</v>
      </c>
      <c r="K76" s="25"/>
      <c r="L76" s="45">
        <f t="shared" si="8"/>
        <v>0</v>
      </c>
      <c r="M76" s="3"/>
      <c r="N76" s="3"/>
      <c r="O76" s="3"/>
      <c r="P76" s="3"/>
    </row>
    <row r="77" spans="1:16">
      <c r="A77" s="41">
        <v>44249</v>
      </c>
      <c r="B77" s="25" t="s">
        <v>73</v>
      </c>
      <c r="C77" s="25" t="s">
        <v>67</v>
      </c>
      <c r="D77" s="25">
        <v>1</v>
      </c>
      <c r="E77" s="25">
        <v>1</v>
      </c>
      <c r="F77" s="26">
        <f t="shared" ref="F77:F79" si="19">$E$7</f>
        <v>0.625</v>
      </c>
      <c r="G77" s="25"/>
      <c r="H77" s="27">
        <f t="shared" ref="H77:H79" si="20">+$M$6</f>
        <v>1.625</v>
      </c>
      <c r="I77" s="27">
        <f t="shared" si="2"/>
        <v>1.625</v>
      </c>
      <c r="J77" s="27">
        <f t="shared" si="7"/>
        <v>1.625</v>
      </c>
      <c r="K77" s="25"/>
      <c r="L77" s="45">
        <f t="shared" si="8"/>
        <v>1.625</v>
      </c>
      <c r="M77" s="3"/>
    </row>
    <row r="78" spans="1:16">
      <c r="A78" s="41">
        <v>44250</v>
      </c>
      <c r="B78" s="25" t="s">
        <v>74</v>
      </c>
      <c r="C78" s="25" t="s">
        <v>67</v>
      </c>
      <c r="D78" s="25">
        <v>1</v>
      </c>
      <c r="E78" s="25">
        <v>1</v>
      </c>
      <c r="F78" s="26">
        <f t="shared" si="19"/>
        <v>0.625</v>
      </c>
      <c r="G78" s="25"/>
      <c r="H78" s="27">
        <f t="shared" si="20"/>
        <v>1.625</v>
      </c>
      <c r="I78" s="27">
        <f t="shared" si="2"/>
        <v>1.625</v>
      </c>
      <c r="J78" s="27">
        <f t="shared" si="7"/>
        <v>1.625</v>
      </c>
      <c r="K78" s="25"/>
      <c r="L78" s="45">
        <f t="shared" si="8"/>
        <v>1.625</v>
      </c>
      <c r="M78" s="3"/>
    </row>
    <row r="79" spans="1:16">
      <c r="A79" s="41">
        <v>44251</v>
      </c>
      <c r="B79" s="25" t="s">
        <v>66</v>
      </c>
      <c r="C79" s="25" t="s">
        <v>67</v>
      </c>
      <c r="D79" s="25">
        <v>1</v>
      </c>
      <c r="E79" s="25">
        <v>1</v>
      </c>
      <c r="F79" s="26">
        <f t="shared" si="19"/>
        <v>0.625</v>
      </c>
      <c r="G79" s="25"/>
      <c r="H79" s="27">
        <f t="shared" si="20"/>
        <v>1.625</v>
      </c>
      <c r="I79" s="27">
        <f t="shared" si="2"/>
        <v>1.625</v>
      </c>
      <c r="J79" s="27">
        <f t="shared" si="7"/>
        <v>1.625</v>
      </c>
      <c r="K79" s="25"/>
      <c r="L79" s="45">
        <f t="shared" si="8"/>
        <v>1.625</v>
      </c>
      <c r="M79" s="3"/>
    </row>
    <row r="80" spans="1:16">
      <c r="A80" s="41">
        <v>44259</v>
      </c>
      <c r="B80" s="25" t="s">
        <v>68</v>
      </c>
      <c r="C80" s="25" t="s">
        <v>69</v>
      </c>
      <c r="D80" s="25"/>
      <c r="E80" s="25"/>
      <c r="F80" s="25"/>
      <c r="G80" s="25"/>
      <c r="H80" s="25"/>
      <c r="I80" s="27"/>
      <c r="J80" s="27">
        <f t="shared" si="7"/>
        <v>0</v>
      </c>
      <c r="K80" s="25"/>
      <c r="L80" s="45">
        <f t="shared" si="8"/>
        <v>0</v>
      </c>
      <c r="M80" s="3"/>
    </row>
    <row r="81" spans="1:13">
      <c r="A81" s="41">
        <v>44260</v>
      </c>
      <c r="B81" s="25" t="s">
        <v>75</v>
      </c>
      <c r="C81" s="25" t="s">
        <v>69</v>
      </c>
      <c r="D81" s="25"/>
      <c r="E81" s="25"/>
      <c r="F81" s="25"/>
      <c r="G81" s="25"/>
      <c r="H81" s="25"/>
      <c r="I81" s="27"/>
      <c r="J81" s="27">
        <f t="shared" si="7"/>
        <v>0</v>
      </c>
      <c r="K81" s="25"/>
      <c r="L81" s="45">
        <f t="shared" si="8"/>
        <v>0</v>
      </c>
      <c r="M81" s="3"/>
    </row>
    <row r="82" spans="1:13">
      <c r="A82" s="41">
        <v>44254</v>
      </c>
      <c r="B82" s="25" t="s">
        <v>70</v>
      </c>
      <c r="C82" s="25" t="s">
        <v>71</v>
      </c>
      <c r="D82" s="25"/>
      <c r="E82" s="25"/>
      <c r="F82" s="25"/>
      <c r="G82" s="25"/>
      <c r="H82" s="25"/>
      <c r="I82" s="27"/>
      <c r="J82" s="27">
        <f t="shared" si="7"/>
        <v>0</v>
      </c>
      <c r="K82" s="25"/>
      <c r="L82" s="45">
        <f t="shared" si="8"/>
        <v>0</v>
      </c>
      <c r="M82" s="3"/>
    </row>
    <row r="83" spans="1:13">
      <c r="A83" s="41">
        <v>44255</v>
      </c>
      <c r="B83" s="25" t="s">
        <v>72</v>
      </c>
      <c r="C83" s="25" t="s">
        <v>71</v>
      </c>
      <c r="D83" s="25"/>
      <c r="E83" s="25"/>
      <c r="F83" s="25"/>
      <c r="G83" s="25"/>
      <c r="H83" s="25"/>
      <c r="I83" s="27"/>
      <c r="J83" s="27">
        <f t="shared" si="7"/>
        <v>0</v>
      </c>
      <c r="K83" s="25"/>
      <c r="L83" s="45">
        <f t="shared" si="8"/>
        <v>0</v>
      </c>
      <c r="M83" s="3"/>
    </row>
    <row r="84" spans="1:13">
      <c r="A84" s="41">
        <v>44256</v>
      </c>
      <c r="B84" s="25" t="s">
        <v>73</v>
      </c>
      <c r="C84" s="25" t="s">
        <v>67</v>
      </c>
      <c r="D84" s="25">
        <v>1</v>
      </c>
      <c r="E84" s="25">
        <v>1</v>
      </c>
      <c r="F84" s="26">
        <f t="shared" ref="F84:F86" si="21">$E$7</f>
        <v>0.625</v>
      </c>
      <c r="G84" s="25"/>
      <c r="H84" s="27">
        <f t="shared" ref="H84:H86" si="22">+$M$6</f>
        <v>1.625</v>
      </c>
      <c r="I84" s="27">
        <f t="shared" ref="I84:I114" si="23">+H84+G84</f>
        <v>1.625</v>
      </c>
      <c r="J84" s="27">
        <f t="shared" si="7"/>
        <v>1.625</v>
      </c>
      <c r="K84" s="25"/>
      <c r="L84" s="45">
        <f t="shared" si="8"/>
        <v>1.625</v>
      </c>
      <c r="M84" s="3"/>
    </row>
    <row r="85" spans="1:13">
      <c r="A85" s="41">
        <v>44257</v>
      </c>
      <c r="B85" s="25" t="s">
        <v>74</v>
      </c>
      <c r="C85" s="25" t="s">
        <v>67</v>
      </c>
      <c r="D85" s="25">
        <v>1</v>
      </c>
      <c r="E85" s="25">
        <v>1</v>
      </c>
      <c r="F85" s="26">
        <f t="shared" si="21"/>
        <v>0.625</v>
      </c>
      <c r="G85" s="25"/>
      <c r="H85" s="27">
        <f t="shared" si="22"/>
        <v>1.625</v>
      </c>
      <c r="I85" s="27">
        <f t="shared" si="23"/>
        <v>1.625</v>
      </c>
      <c r="J85" s="27">
        <f t="shared" si="7"/>
        <v>1.625</v>
      </c>
      <c r="K85" s="25"/>
      <c r="L85" s="45">
        <f t="shared" si="8"/>
        <v>1.625</v>
      </c>
      <c r="M85" s="3"/>
    </row>
    <row r="86" spans="1:13">
      <c r="A86" s="41">
        <v>44258</v>
      </c>
      <c r="B86" s="25" t="s">
        <v>66</v>
      </c>
      <c r="C86" s="25" t="s">
        <v>67</v>
      </c>
      <c r="D86" s="25">
        <v>1</v>
      </c>
      <c r="E86" s="25">
        <v>1</v>
      </c>
      <c r="F86" s="26">
        <f t="shared" si="21"/>
        <v>0.625</v>
      </c>
      <c r="G86" s="25"/>
      <c r="H86" s="27">
        <f t="shared" si="22"/>
        <v>1.625</v>
      </c>
      <c r="I86" s="27">
        <f t="shared" si="23"/>
        <v>1.625</v>
      </c>
      <c r="J86" s="27">
        <f t="shared" si="7"/>
        <v>1.625</v>
      </c>
      <c r="K86" s="25"/>
      <c r="L86" s="45">
        <f t="shared" si="8"/>
        <v>1.625</v>
      </c>
      <c r="M86" s="3"/>
    </row>
    <row r="87" spans="1:13">
      <c r="A87" s="41">
        <v>44266</v>
      </c>
      <c r="B87" s="25" t="s">
        <v>68</v>
      </c>
      <c r="C87" s="25" t="s">
        <v>69</v>
      </c>
      <c r="D87" s="25"/>
      <c r="E87" s="25"/>
      <c r="F87" s="25"/>
      <c r="G87" s="25"/>
      <c r="H87" s="25"/>
      <c r="I87" s="27"/>
      <c r="J87" s="27">
        <f t="shared" si="7"/>
        <v>0</v>
      </c>
      <c r="K87" s="25"/>
      <c r="L87" s="45">
        <f t="shared" si="8"/>
        <v>0</v>
      </c>
      <c r="M87" s="3"/>
    </row>
    <row r="88" spans="1:13">
      <c r="A88" s="41">
        <v>44267</v>
      </c>
      <c r="B88" s="25" t="s">
        <v>75</v>
      </c>
      <c r="C88" s="25" t="s">
        <v>69</v>
      </c>
      <c r="D88" s="25"/>
      <c r="E88" s="25"/>
      <c r="F88" s="25"/>
      <c r="G88" s="25"/>
      <c r="H88" s="25"/>
      <c r="I88" s="27"/>
      <c r="J88" s="27">
        <f t="shared" si="7"/>
        <v>0</v>
      </c>
      <c r="K88" s="25"/>
      <c r="L88" s="45">
        <f t="shared" si="8"/>
        <v>0</v>
      </c>
      <c r="M88" s="3"/>
    </row>
    <row r="89" spans="1:13">
      <c r="A89" s="41">
        <v>44261</v>
      </c>
      <c r="B89" s="25" t="s">
        <v>70</v>
      </c>
      <c r="C89" s="25" t="s">
        <v>71</v>
      </c>
      <c r="D89" s="25"/>
      <c r="E89" s="25"/>
      <c r="F89" s="25"/>
      <c r="G89" s="25"/>
      <c r="H89" s="25"/>
      <c r="I89" s="27"/>
      <c r="J89" s="27">
        <f t="shared" si="7"/>
        <v>0</v>
      </c>
      <c r="K89" s="25"/>
      <c r="L89" s="45">
        <f t="shared" si="8"/>
        <v>0</v>
      </c>
      <c r="M89" s="3"/>
    </row>
    <row r="90" spans="1:13">
      <c r="A90" s="41">
        <v>44262</v>
      </c>
      <c r="B90" s="25" t="s">
        <v>72</v>
      </c>
      <c r="C90" s="25" t="s">
        <v>71</v>
      </c>
      <c r="D90" s="25"/>
      <c r="E90" s="25"/>
      <c r="F90" s="25"/>
      <c r="G90" s="25"/>
      <c r="H90" s="25"/>
      <c r="I90" s="27"/>
      <c r="J90" s="27">
        <f t="shared" si="7"/>
        <v>0</v>
      </c>
      <c r="K90" s="25"/>
      <c r="L90" s="45">
        <f t="shared" si="8"/>
        <v>0</v>
      </c>
      <c r="M90" s="3"/>
    </row>
    <row r="91" spans="1:13">
      <c r="A91" s="41">
        <v>44263</v>
      </c>
      <c r="B91" s="25" t="s">
        <v>73</v>
      </c>
      <c r="C91" s="25" t="s">
        <v>67</v>
      </c>
      <c r="D91" s="25">
        <v>1</v>
      </c>
      <c r="E91" s="25">
        <v>1</v>
      </c>
      <c r="F91" s="26">
        <f t="shared" ref="F91:F93" si="24">$E$7</f>
        <v>0.625</v>
      </c>
      <c r="G91" s="25"/>
      <c r="H91" s="27">
        <f t="shared" ref="H91:H93" si="25">+$M$6</f>
        <v>1.625</v>
      </c>
      <c r="I91" s="27">
        <f t="shared" si="23"/>
        <v>1.625</v>
      </c>
      <c r="J91" s="27">
        <f t="shared" si="7"/>
        <v>1.625</v>
      </c>
      <c r="K91" s="25"/>
      <c r="L91" s="45">
        <f t="shared" si="8"/>
        <v>1.625</v>
      </c>
      <c r="M91" s="3"/>
    </row>
    <row r="92" spans="1:13">
      <c r="A92" s="41">
        <v>44264</v>
      </c>
      <c r="B92" s="25" t="s">
        <v>74</v>
      </c>
      <c r="C92" s="25" t="s">
        <v>67</v>
      </c>
      <c r="D92" s="25">
        <v>1</v>
      </c>
      <c r="E92" s="25">
        <v>1</v>
      </c>
      <c r="F92" s="26">
        <f t="shared" si="24"/>
        <v>0.625</v>
      </c>
      <c r="G92" s="25"/>
      <c r="H92" s="27">
        <f t="shared" si="25"/>
        <v>1.625</v>
      </c>
      <c r="I92" s="27">
        <f t="shared" si="23"/>
        <v>1.625</v>
      </c>
      <c r="J92" s="27">
        <f t="shared" si="7"/>
        <v>1.625</v>
      </c>
      <c r="K92" s="25"/>
      <c r="L92" s="45">
        <f t="shared" si="8"/>
        <v>1.625</v>
      </c>
      <c r="M92" s="3"/>
    </row>
    <row r="93" spans="1:13">
      <c r="A93" s="41">
        <v>44265</v>
      </c>
      <c r="B93" s="25" t="s">
        <v>66</v>
      </c>
      <c r="C93" s="25" t="s">
        <v>67</v>
      </c>
      <c r="D93" s="25">
        <v>1</v>
      </c>
      <c r="E93" s="25">
        <v>1</v>
      </c>
      <c r="F93" s="26">
        <f t="shared" si="24"/>
        <v>0.625</v>
      </c>
      <c r="G93" s="25"/>
      <c r="H93" s="27">
        <f t="shared" si="25"/>
        <v>1.625</v>
      </c>
      <c r="I93" s="27">
        <f t="shared" si="23"/>
        <v>1.625</v>
      </c>
      <c r="J93" s="27">
        <f t="shared" si="7"/>
        <v>1.625</v>
      </c>
      <c r="K93" s="25"/>
      <c r="L93" s="45">
        <f t="shared" si="8"/>
        <v>1.625</v>
      </c>
      <c r="M93" s="3"/>
    </row>
    <row r="94" spans="1:13">
      <c r="A94" s="41">
        <v>44273</v>
      </c>
      <c r="B94" s="25" t="s">
        <v>68</v>
      </c>
      <c r="C94" s="25" t="s">
        <v>69</v>
      </c>
      <c r="D94" s="25"/>
      <c r="E94" s="25"/>
      <c r="F94" s="25"/>
      <c r="G94" s="25"/>
      <c r="H94" s="25"/>
      <c r="I94" s="27"/>
      <c r="J94" s="27">
        <f t="shared" si="7"/>
        <v>0</v>
      </c>
      <c r="K94" s="25"/>
      <c r="L94" s="45">
        <f t="shared" si="8"/>
        <v>0</v>
      </c>
      <c r="M94" s="3"/>
    </row>
    <row r="95" spans="1:13">
      <c r="A95" s="41">
        <v>44274</v>
      </c>
      <c r="B95" s="25" t="s">
        <v>75</v>
      </c>
      <c r="C95" s="25" t="s">
        <v>69</v>
      </c>
      <c r="D95" s="25"/>
      <c r="E95" s="25"/>
      <c r="F95" s="25"/>
      <c r="G95" s="25"/>
      <c r="H95" s="25"/>
      <c r="I95" s="27"/>
      <c r="J95" s="27">
        <f t="shared" si="7"/>
        <v>0</v>
      </c>
      <c r="K95" s="25"/>
      <c r="L95" s="45">
        <f t="shared" si="8"/>
        <v>0</v>
      </c>
      <c r="M95" s="3"/>
    </row>
    <row r="96" spans="1:13">
      <c r="A96" s="41">
        <v>44268</v>
      </c>
      <c r="B96" s="25" t="s">
        <v>70</v>
      </c>
      <c r="C96" s="25" t="s">
        <v>71</v>
      </c>
      <c r="D96" s="25"/>
      <c r="E96" s="25"/>
      <c r="F96" s="25"/>
      <c r="G96" s="25"/>
      <c r="H96" s="25"/>
      <c r="I96" s="27"/>
      <c r="J96" s="27">
        <f t="shared" si="7"/>
        <v>0</v>
      </c>
      <c r="K96" s="25"/>
      <c r="L96" s="45">
        <f t="shared" si="8"/>
        <v>0</v>
      </c>
      <c r="M96" s="3"/>
    </row>
    <row r="97" spans="1:13">
      <c r="A97" s="41">
        <v>44269</v>
      </c>
      <c r="B97" s="25" t="s">
        <v>72</v>
      </c>
      <c r="C97" s="25" t="s">
        <v>71</v>
      </c>
      <c r="D97" s="25"/>
      <c r="E97" s="25"/>
      <c r="F97" s="25"/>
      <c r="G97" s="25"/>
      <c r="H97" s="25"/>
      <c r="I97" s="27"/>
      <c r="J97" s="27">
        <f t="shared" si="7"/>
        <v>0</v>
      </c>
      <c r="K97" s="25"/>
      <c r="L97" s="45">
        <f t="shared" si="8"/>
        <v>0</v>
      </c>
      <c r="M97" s="3"/>
    </row>
    <row r="98" spans="1:13">
      <c r="A98" s="41">
        <v>44270</v>
      </c>
      <c r="B98" s="25" t="s">
        <v>73</v>
      </c>
      <c r="C98" s="25" t="s">
        <v>67</v>
      </c>
      <c r="D98" s="25">
        <v>1</v>
      </c>
      <c r="E98" s="25">
        <v>1</v>
      </c>
      <c r="F98" s="26">
        <f t="shared" ref="F98:F100" si="26">$E$7</f>
        <v>0.625</v>
      </c>
      <c r="G98" s="25"/>
      <c r="H98" s="27">
        <f t="shared" ref="H98:H100" si="27">+$M$6</f>
        <v>1.625</v>
      </c>
      <c r="I98" s="27">
        <f t="shared" si="23"/>
        <v>1.625</v>
      </c>
      <c r="J98" s="27">
        <f t="shared" si="7"/>
        <v>1.625</v>
      </c>
      <c r="K98" s="25"/>
      <c r="L98" s="45">
        <f t="shared" si="8"/>
        <v>1.625</v>
      </c>
      <c r="M98" s="3"/>
    </row>
    <row r="99" spans="1:13">
      <c r="A99" s="41">
        <v>44271</v>
      </c>
      <c r="B99" s="25" t="s">
        <v>74</v>
      </c>
      <c r="C99" s="25" t="s">
        <v>67</v>
      </c>
      <c r="D99" s="25">
        <v>1</v>
      </c>
      <c r="E99" s="25">
        <v>1</v>
      </c>
      <c r="F99" s="26">
        <f t="shared" si="26"/>
        <v>0.625</v>
      </c>
      <c r="G99" s="25"/>
      <c r="H99" s="27">
        <f t="shared" si="27"/>
        <v>1.625</v>
      </c>
      <c r="I99" s="27">
        <f t="shared" si="23"/>
        <v>1.625</v>
      </c>
      <c r="J99" s="27">
        <f t="shared" si="7"/>
        <v>1.625</v>
      </c>
      <c r="K99" s="25"/>
      <c r="L99" s="45">
        <f t="shared" si="8"/>
        <v>1.625</v>
      </c>
      <c r="M99" s="3"/>
    </row>
    <row r="100" spans="1:13">
      <c r="A100" s="41">
        <v>44272</v>
      </c>
      <c r="B100" s="25" t="s">
        <v>66</v>
      </c>
      <c r="C100" s="25" t="s">
        <v>67</v>
      </c>
      <c r="D100" s="25">
        <v>1</v>
      </c>
      <c r="E100" s="25">
        <v>1</v>
      </c>
      <c r="F100" s="26">
        <f t="shared" si="26"/>
        <v>0.625</v>
      </c>
      <c r="G100" s="25"/>
      <c r="H100" s="27">
        <f t="shared" si="27"/>
        <v>1.625</v>
      </c>
      <c r="I100" s="27">
        <f t="shared" si="23"/>
        <v>1.625</v>
      </c>
      <c r="J100" s="27">
        <f t="shared" si="7"/>
        <v>1.625</v>
      </c>
      <c r="K100" s="25"/>
      <c r="L100" s="45">
        <f t="shared" si="8"/>
        <v>1.625</v>
      </c>
      <c r="M100" s="3"/>
    </row>
    <row r="101" spans="1:13">
      <c r="A101" s="41">
        <v>44280</v>
      </c>
      <c r="B101" s="25" t="s">
        <v>68</v>
      </c>
      <c r="C101" s="25" t="s">
        <v>69</v>
      </c>
      <c r="D101" s="25"/>
      <c r="E101" s="25"/>
      <c r="F101" s="25"/>
      <c r="G101" s="25"/>
      <c r="H101" s="25"/>
      <c r="I101" s="27"/>
      <c r="J101" s="27">
        <f t="shared" ref="J101:J114" si="28">+H101</f>
        <v>0</v>
      </c>
      <c r="K101" s="25"/>
      <c r="L101" s="45">
        <f t="shared" ref="L101:L114" si="29">+K101+J101</f>
        <v>0</v>
      </c>
      <c r="M101" s="3"/>
    </row>
    <row r="102" spans="1:13">
      <c r="A102" s="41">
        <v>44281</v>
      </c>
      <c r="B102" s="25" t="s">
        <v>75</v>
      </c>
      <c r="C102" s="25" t="s">
        <v>69</v>
      </c>
      <c r="D102" s="25"/>
      <c r="E102" s="25"/>
      <c r="F102" s="25"/>
      <c r="G102" s="25"/>
      <c r="H102" s="25"/>
      <c r="I102" s="27"/>
      <c r="J102" s="27">
        <f t="shared" si="28"/>
        <v>0</v>
      </c>
      <c r="K102" s="25"/>
      <c r="L102" s="45">
        <f t="shared" si="29"/>
        <v>0</v>
      </c>
      <c r="M102" s="3"/>
    </row>
    <row r="103" spans="1:13">
      <c r="A103" s="41">
        <v>44275</v>
      </c>
      <c r="B103" s="25" t="s">
        <v>70</v>
      </c>
      <c r="C103" s="25" t="s">
        <v>71</v>
      </c>
      <c r="D103" s="25"/>
      <c r="E103" s="25"/>
      <c r="F103" s="25"/>
      <c r="G103" s="25"/>
      <c r="H103" s="25"/>
      <c r="I103" s="27"/>
      <c r="J103" s="27">
        <f t="shared" si="28"/>
        <v>0</v>
      </c>
      <c r="K103" s="25"/>
      <c r="L103" s="45">
        <f t="shared" si="29"/>
        <v>0</v>
      </c>
      <c r="M103" s="3"/>
    </row>
    <row r="104" spans="1:13">
      <c r="A104" s="41">
        <v>44276</v>
      </c>
      <c r="B104" s="25" t="s">
        <v>72</v>
      </c>
      <c r="C104" s="25" t="s">
        <v>71</v>
      </c>
      <c r="D104" s="25"/>
      <c r="E104" s="25"/>
      <c r="F104" s="25"/>
      <c r="G104" s="25"/>
      <c r="H104" s="25"/>
      <c r="I104" s="27"/>
      <c r="J104" s="27">
        <f t="shared" si="28"/>
        <v>0</v>
      </c>
      <c r="K104" s="25"/>
      <c r="L104" s="45">
        <f t="shared" si="29"/>
        <v>0</v>
      </c>
      <c r="M104" s="3"/>
    </row>
    <row r="105" spans="1:13">
      <c r="A105" s="41">
        <v>44277</v>
      </c>
      <c r="B105" s="25" t="s">
        <v>73</v>
      </c>
      <c r="C105" s="25" t="s">
        <v>67</v>
      </c>
      <c r="D105" s="25">
        <v>1</v>
      </c>
      <c r="E105" s="25">
        <v>1</v>
      </c>
      <c r="F105" s="26">
        <f>$E$7</f>
        <v>0.625</v>
      </c>
      <c r="G105" s="25"/>
      <c r="H105" s="27">
        <f>+$M$6</f>
        <v>1.625</v>
      </c>
      <c r="I105" s="27">
        <f t="shared" si="23"/>
        <v>1.625</v>
      </c>
      <c r="J105" s="27">
        <f t="shared" si="28"/>
        <v>1.625</v>
      </c>
      <c r="K105" s="25"/>
      <c r="L105" s="45">
        <f t="shared" si="29"/>
        <v>1.625</v>
      </c>
      <c r="M105" s="3"/>
    </row>
    <row r="106" spans="1:13">
      <c r="A106" s="41">
        <v>44278</v>
      </c>
      <c r="B106" s="25" t="s">
        <v>74</v>
      </c>
      <c r="C106" s="25" t="s">
        <v>67</v>
      </c>
      <c r="D106" s="25">
        <v>1</v>
      </c>
      <c r="E106" s="25">
        <v>1</v>
      </c>
      <c r="F106" s="26">
        <f t="shared" ref="F106:F107" si="30">$E$7</f>
        <v>0.625</v>
      </c>
      <c r="G106" s="26"/>
      <c r="H106" s="27">
        <f t="shared" ref="H106:H107" si="31">+$M$6</f>
        <v>1.625</v>
      </c>
      <c r="I106" s="27">
        <f t="shared" si="23"/>
        <v>1.625</v>
      </c>
      <c r="J106" s="27">
        <f t="shared" si="28"/>
        <v>1.625</v>
      </c>
      <c r="K106" s="27"/>
      <c r="L106" s="45">
        <f>+K106+J106</f>
        <v>1.625</v>
      </c>
      <c r="M106" s="3"/>
    </row>
    <row r="107" spans="1:13">
      <c r="A107" s="41">
        <v>44279</v>
      </c>
      <c r="B107" s="25" t="s">
        <v>66</v>
      </c>
      <c r="C107" s="25" t="s">
        <v>67</v>
      </c>
      <c r="D107" s="25">
        <v>1</v>
      </c>
      <c r="E107" s="25">
        <v>1</v>
      </c>
      <c r="F107" s="26">
        <f t="shared" si="30"/>
        <v>0.625</v>
      </c>
      <c r="G107" s="26"/>
      <c r="H107" s="27">
        <f t="shared" si="31"/>
        <v>1.625</v>
      </c>
      <c r="I107" s="27">
        <f t="shared" si="23"/>
        <v>1.625</v>
      </c>
      <c r="J107" s="27">
        <f t="shared" si="28"/>
        <v>1.625</v>
      </c>
      <c r="K107" s="27"/>
      <c r="L107" s="45">
        <f t="shared" si="29"/>
        <v>1.625</v>
      </c>
      <c r="M107" s="3"/>
    </row>
    <row r="108" spans="1:13">
      <c r="A108" s="41">
        <v>44190</v>
      </c>
      <c r="B108" s="25" t="s">
        <v>75</v>
      </c>
      <c r="C108" s="25" t="s">
        <v>76</v>
      </c>
      <c r="D108" s="25"/>
      <c r="E108" s="25"/>
      <c r="F108" s="25"/>
      <c r="G108" s="25"/>
      <c r="H108" s="25"/>
      <c r="I108" s="27"/>
      <c r="J108" s="27"/>
      <c r="K108" s="27"/>
      <c r="L108" s="45">
        <f t="shared" si="29"/>
        <v>0</v>
      </c>
      <c r="M108" s="3"/>
    </row>
    <row r="109" spans="1:13">
      <c r="A109" s="41">
        <v>44197</v>
      </c>
      <c r="B109" s="25" t="s">
        <v>75</v>
      </c>
      <c r="C109" s="25" t="s">
        <v>76</v>
      </c>
      <c r="D109" s="25"/>
      <c r="E109" s="25"/>
      <c r="F109" s="25"/>
      <c r="G109" s="25"/>
      <c r="H109" s="25"/>
      <c r="I109" s="27"/>
      <c r="J109" s="27"/>
      <c r="K109" s="27"/>
      <c r="L109" s="45">
        <f t="shared" si="29"/>
        <v>0</v>
      </c>
      <c r="M109" s="3"/>
    </row>
    <row r="110" spans="1:13">
      <c r="A110" s="41">
        <v>44282</v>
      </c>
      <c r="B110" s="25" t="s">
        <v>70</v>
      </c>
      <c r="C110" s="25" t="s">
        <v>71</v>
      </c>
      <c r="D110" s="25"/>
      <c r="E110" s="25"/>
      <c r="F110" s="25"/>
      <c r="G110" s="25"/>
      <c r="H110" s="25"/>
      <c r="I110" s="27"/>
      <c r="J110" s="27"/>
      <c r="K110" s="27"/>
      <c r="L110" s="45">
        <f t="shared" si="29"/>
        <v>0</v>
      </c>
      <c r="M110" s="3"/>
    </row>
    <row r="111" spans="1:13">
      <c r="A111" s="41">
        <v>44283</v>
      </c>
      <c r="B111" s="25" t="s">
        <v>72</v>
      </c>
      <c r="C111" s="25" t="s">
        <v>71</v>
      </c>
      <c r="D111" s="25"/>
      <c r="E111" s="25"/>
      <c r="F111" s="25"/>
      <c r="G111" s="25"/>
      <c r="H111" s="25"/>
      <c r="I111" s="27"/>
      <c r="J111" s="27"/>
      <c r="K111" s="27"/>
      <c r="L111" s="45">
        <f t="shared" si="29"/>
        <v>0</v>
      </c>
      <c r="M111" s="3"/>
    </row>
    <row r="112" spans="1:13">
      <c r="A112" s="41">
        <v>44284</v>
      </c>
      <c r="B112" s="25" t="s">
        <v>73</v>
      </c>
      <c r="C112" s="25" t="s">
        <v>67</v>
      </c>
      <c r="D112" s="25">
        <v>1</v>
      </c>
      <c r="E112" s="25">
        <v>1</v>
      </c>
      <c r="F112" s="26">
        <f t="shared" ref="F112:F114" si="32">$E$7</f>
        <v>0.625</v>
      </c>
      <c r="G112" s="26"/>
      <c r="H112" s="27">
        <f t="shared" ref="H112:H114" si="33">+$M$6</f>
        <v>1.625</v>
      </c>
      <c r="I112" s="27">
        <f t="shared" si="23"/>
        <v>1.625</v>
      </c>
      <c r="J112" s="27">
        <f t="shared" si="28"/>
        <v>1.625</v>
      </c>
      <c r="K112" s="27"/>
      <c r="L112" s="45">
        <f t="shared" si="29"/>
        <v>1.625</v>
      </c>
      <c r="M112" s="3"/>
    </row>
    <row r="113" spans="1:13">
      <c r="A113" s="41">
        <v>44285</v>
      </c>
      <c r="B113" s="25" t="s">
        <v>74</v>
      </c>
      <c r="C113" s="25" t="s">
        <v>67</v>
      </c>
      <c r="D113" s="25">
        <v>1</v>
      </c>
      <c r="E113" s="25">
        <v>1</v>
      </c>
      <c r="F113" s="26">
        <f t="shared" si="32"/>
        <v>0.625</v>
      </c>
      <c r="G113" s="26"/>
      <c r="H113" s="27">
        <f t="shared" si="33"/>
        <v>1.625</v>
      </c>
      <c r="I113" s="27">
        <f t="shared" si="23"/>
        <v>1.625</v>
      </c>
      <c r="J113" s="27">
        <f t="shared" si="28"/>
        <v>1.625</v>
      </c>
      <c r="K113" s="27"/>
      <c r="L113" s="45">
        <f t="shared" si="29"/>
        <v>1.625</v>
      </c>
      <c r="M113" s="3"/>
    </row>
    <row r="114" spans="1:13">
      <c r="A114" s="41">
        <v>44286</v>
      </c>
      <c r="B114" s="25" t="s">
        <v>66</v>
      </c>
      <c r="C114" s="25" t="s">
        <v>67</v>
      </c>
      <c r="D114" s="25">
        <v>1</v>
      </c>
      <c r="E114" s="25">
        <v>1</v>
      </c>
      <c r="F114" s="26">
        <f t="shared" si="32"/>
        <v>0.625</v>
      </c>
      <c r="G114" s="26"/>
      <c r="H114" s="27">
        <f t="shared" si="33"/>
        <v>1.625</v>
      </c>
      <c r="I114" s="27">
        <f t="shared" si="23"/>
        <v>1.625</v>
      </c>
      <c r="J114" s="27">
        <f t="shared" si="28"/>
        <v>1.625</v>
      </c>
      <c r="K114" s="27"/>
      <c r="L114" s="45">
        <f t="shared" si="29"/>
        <v>1.625</v>
      </c>
      <c r="M114" s="3"/>
    </row>
    <row r="115" spans="1:13" s="4" customFormat="1" ht="15" thickBot="1">
      <c r="A115" s="53" t="s">
        <v>78</v>
      </c>
      <c r="B115" s="54"/>
      <c r="C115" s="54"/>
      <c r="D115" s="46">
        <f>COUNTA(D16:D114)</f>
        <v>40</v>
      </c>
      <c r="E115" s="46">
        <f>COUNTA(E16:E114)</f>
        <v>40</v>
      </c>
      <c r="F115" s="47">
        <f>SUM(F16:F114)</f>
        <v>25</v>
      </c>
      <c r="G115" s="47">
        <f>SUM(G16:G114)</f>
        <v>0</v>
      </c>
      <c r="H115" s="47">
        <f t="shared" ref="H115:J115" si="34">SUM(H16:H114)</f>
        <v>65</v>
      </c>
      <c r="I115" s="48">
        <f t="shared" si="34"/>
        <v>65</v>
      </c>
      <c r="J115" s="49">
        <f t="shared" si="34"/>
        <v>55.25</v>
      </c>
      <c r="K115" s="49">
        <f>SUM(K16:K114)</f>
        <v>0</v>
      </c>
      <c r="L115" s="50">
        <f>SUM(L16:L114)</f>
        <v>55.25</v>
      </c>
      <c r="M115" s="3"/>
    </row>
    <row r="116" spans="1:13">
      <c r="J116" s="39"/>
      <c r="M116" s="3"/>
    </row>
    <row r="117" spans="1:13">
      <c r="M117" s="3"/>
    </row>
    <row r="118" spans="1:13">
      <c r="M118" s="3"/>
    </row>
    <row r="119" spans="1:13">
      <c r="M119" s="3"/>
    </row>
    <row r="120" spans="1:13">
      <c r="M120" s="3"/>
    </row>
    <row r="121" spans="1:13">
      <c r="M121" s="3"/>
    </row>
    <row r="122" spans="1:13">
      <c r="M122" s="3"/>
    </row>
    <row r="123" spans="1:13">
      <c r="M123" s="3"/>
    </row>
    <row r="124" spans="1:13">
      <c r="M124" s="3"/>
    </row>
    <row r="125" spans="1:13">
      <c r="M125" s="3"/>
    </row>
    <row r="126" spans="1:13">
      <c r="M126" s="3"/>
    </row>
    <row r="127" spans="1:13">
      <c r="M127" s="3"/>
    </row>
    <row r="128" spans="1:13">
      <c r="M128" s="3"/>
    </row>
    <row r="129" spans="13:13">
      <c r="M129" s="3"/>
    </row>
    <row r="130" spans="13:13">
      <c r="M130" s="3"/>
    </row>
  </sheetData>
  <mergeCells count="11">
    <mergeCell ref="A115:C115"/>
    <mergeCell ref="A3:X3"/>
    <mergeCell ref="A13:L13"/>
    <mergeCell ref="I11:I12"/>
    <mergeCell ref="C14:D14"/>
    <mergeCell ref="A4:A5"/>
    <mergeCell ref="B4:B5"/>
    <mergeCell ref="B14:B15"/>
    <mergeCell ref="A14:A15"/>
    <mergeCell ref="A10:C10"/>
    <mergeCell ref="T8:T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Mohsin Khan</dc:creator>
  <cp:keywords/>
  <dc:description/>
  <cp:lastModifiedBy/>
  <cp:revision/>
  <dcterms:created xsi:type="dcterms:W3CDTF">2021-01-11T03:39:05Z</dcterms:created>
  <dcterms:modified xsi:type="dcterms:W3CDTF">2026-05-23T12:29:50Z</dcterms:modified>
  <cp:category/>
  <cp:contentStatus/>
</cp:coreProperties>
</file>